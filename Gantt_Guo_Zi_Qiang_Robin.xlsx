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<sst xmlns="http://schemas.openxmlformats.org/spreadsheetml/2006/main" count="191" uniqueCount="112">
  <si>
    <t xml:space="preserve">Gantt chart: AI Security for Critical Infrastructure (Guardrail Evaluation Test Bench and Beacon)</t>
  </si>
  <si>
    <t xml:space="preserve">Guo Zi Qiang Robin, AAI4001 Capstone at LTA (CYAD). Capstone period 8 Oct 2026 to 31 Mar 2027. Weekly columns start on the date shown and run Thursday to Wednesday. See the Legend sheet.</t>
  </si>
  <si>
    <t xml:space="preserve">Chart start date</t>
  </si>
  <si>
    <t xml:space="preserve">Task</t>
  </si>
  <si>
    <t xml:space="preserve">Type</t>
  </si>
  <si>
    <t xml:space="preserve">Start</t>
  </si>
  <si>
    <t xml:space="preserve">End</t>
  </si>
  <si>
    <t xml:space="preserve">Owner</t>
  </si>
  <si>
    <t xml:space="preserve">Depends on</t>
  </si>
  <si>
    <t xml:space="preserve">Deliverable</t>
  </si>
  <si>
    <t xml:space="preserve">Academic milestones</t>
  </si>
  <si>
    <t xml:space="preserve">Group</t>
  </si>
  <si>
    <t xml:space="preserve">Form B submitted</t>
  </si>
  <si>
    <t xml:space="preserve">Milestone</t>
  </si>
  <si>
    <t xml:space="preserve">Robin</t>
  </si>
  <si>
    <t xml:space="preserve">None</t>
  </si>
  <si>
    <t xml:space="preserve">Form B_Guo_Zi_Qiang_Robin.docx</t>
  </si>
  <si>
    <t xml:space="preserve">Interim Report (Form E1) submitted</t>
  </si>
  <si>
    <t xml:space="preserve">Test bench evaluation report; Tier 1 results</t>
  </si>
  <si>
    <t xml:space="preserve">Form E1</t>
  </si>
  <si>
    <t xml:space="preserve">Interim Presentation</t>
  </si>
  <si>
    <t xml:space="preserve">Form E1; Beacon build progress</t>
  </si>
  <si>
    <t xml:space="preserve">Final Report (Form E2) submitted</t>
  </si>
  <si>
    <t xml:space="preserve">Deployed Beacon; test bench evaluation report</t>
  </si>
  <si>
    <t xml:space="preserve">Form E2</t>
  </si>
  <si>
    <t xml:space="preserve">Capstone period ends</t>
  </si>
  <si>
    <t xml:space="preserve">None (period boundary)</t>
  </si>
  <si>
    <t xml:space="preserve">Final Presentation (after the period)</t>
  </si>
  <si>
    <t xml:space="preserve">Final Presentation</t>
  </si>
  <si>
    <t xml:space="preserve">Write Interim Report (Form E1)</t>
  </si>
  <si>
    <t xml:space="preserve">Tier 1 results</t>
  </si>
  <si>
    <t xml:space="preserve">Form E1 draft</t>
  </si>
  <si>
    <t xml:space="preserve">Prepare Interim Presentation</t>
  </si>
  <si>
    <t xml:space="preserve">Beacon build under way</t>
  </si>
  <si>
    <t xml:space="preserve">Slides and demo</t>
  </si>
  <si>
    <t xml:space="preserve">Write Final Report (Form E2)</t>
  </si>
  <si>
    <t xml:space="preserve">Beacon deployed and monitored</t>
  </si>
  <si>
    <t xml:space="preserve">Form E2 draft</t>
  </si>
  <si>
    <t xml:space="preserve">Prepare Final Presentation</t>
  </si>
  <si>
    <t xml:space="preserve">Workstream 1: Guardrail Evaluation Test Bench</t>
  </si>
  <si>
    <t xml:space="preserve">Complete comparative research (add Purple Llama and Litmus)</t>
  </si>
  <si>
    <t xml:space="preserve">Updated product research table</t>
  </si>
  <si>
    <t xml:space="preserve">Build minimal reusable evaluation harness</t>
  </si>
  <si>
    <t xml:space="preserve">Comparative research</t>
  </si>
  <si>
    <t xml:space="preserve">Evaluation harness (code)</t>
  </si>
  <si>
    <t xml:space="preserve">Prepare labelled test inputs (public or synthetic only)</t>
  </si>
  <si>
    <t xml:space="preserve">Labelled test set</t>
  </si>
  <si>
    <t xml:space="preserve">Document Tier 2 items under investigation, with reasons</t>
  </si>
  <si>
    <t xml:space="preserve">Tier 2 reasons note</t>
  </si>
  <si>
    <t xml:space="preserve">Run Tier 1 evaluation (harmful-content and jailbreak checks)</t>
  </si>
  <si>
    <t xml:space="preserve">Harness; labelled test inputs</t>
  </si>
  <si>
    <t xml:space="preserve">Raw results dataset</t>
  </si>
  <si>
    <t xml:space="preserve">Analyse results and compare guardrails</t>
  </si>
  <si>
    <t xml:space="preserve">Evaluation runs</t>
  </si>
  <si>
    <t xml:space="preserve">Comparison tables</t>
  </si>
  <si>
    <t xml:space="preserve">Tier 1 evaluation results ready</t>
  </si>
  <si>
    <t xml:space="preserve">Results dataset</t>
  </si>
  <si>
    <t xml:space="preserve">Write test bench evaluation report</t>
  </si>
  <si>
    <t xml:space="preserve">Test bench evaluation report</t>
  </si>
  <si>
    <t xml:space="preserve">Tidy harness, dataset and documentation</t>
  </si>
  <si>
    <t xml:space="preserve">Documented code and dataset</t>
  </si>
  <si>
    <t xml:space="preserve">Workstream 2: Beacon</t>
  </si>
  <si>
    <t xml:space="preserve">Beacon design continues (low intensity)</t>
  </si>
  <si>
    <t xml:space="preserve">Design notes</t>
  </si>
  <si>
    <t xml:space="preserve">Build collection (sources, page reading, storage)</t>
  </si>
  <si>
    <t xml:space="preserve">Beacon design</t>
  </si>
  <si>
    <t xml:space="preserve">Daily collection run</t>
  </si>
  <si>
    <t xml:space="preserve">Build filtering (on-topic check and labelling)</t>
  </si>
  <si>
    <t xml:space="preserve">Collection</t>
  </si>
  <si>
    <t xml:space="preserve">Filtered, labelled items</t>
  </si>
  <si>
    <t xml:space="preserve">Build merging of duplicate reports</t>
  </si>
  <si>
    <t xml:space="preserve">Filtering</t>
  </si>
  <si>
    <t xml:space="preserve">Grouped developments</t>
  </si>
  <si>
    <t xml:space="preserve">Build significance rating</t>
  </si>
  <si>
    <t xml:space="preserve">Merging</t>
  </si>
  <si>
    <t xml:space="preserve">Rated developments</t>
  </si>
  <si>
    <t xml:space="preserve">Build web Briefing and Telegram digest</t>
  </si>
  <si>
    <t xml:space="preserve">Rating</t>
  </si>
  <si>
    <t xml:space="preserve">Web Briefing; Telegram digest</t>
  </si>
  <si>
    <t xml:space="preserve">Initial mapping to SSP controls and MITRE ATT&amp;CK / ATLAS</t>
  </si>
  <si>
    <t xml:space="preserve">Mapped developments with evidence</t>
  </si>
  <si>
    <t xml:space="preserve">Integrate and deploy</t>
  </si>
  <si>
    <t xml:space="preserve">Briefing, digest and mapping built</t>
  </si>
  <si>
    <t xml:space="preserve">Deployed Beacon</t>
  </si>
  <si>
    <t xml:space="preserve">Beacon deployed</t>
  </si>
  <si>
    <t xml:space="preserve">Integration</t>
  </si>
  <si>
    <t xml:space="preserve">Live service</t>
  </si>
  <si>
    <t xml:space="preserve">CI/CD pipeline</t>
  </si>
  <si>
    <t xml:space="preserve">Automated build and release</t>
  </si>
  <si>
    <t xml:space="preserve">Monitoring and fixes</t>
  </si>
  <si>
    <t xml:space="preserve">Monitoring and incident notes</t>
  </si>
  <si>
    <t xml:space="preserve">Trend detection (stretch goal)</t>
  </si>
  <si>
    <t xml:space="preserve">Stable pipeline</t>
  </si>
  <si>
    <t xml:space="preserve">Trend view, if time allows</t>
  </si>
  <si>
    <t xml:space="preserve">Buffer and iteration</t>
  </si>
  <si>
    <t xml:space="preserve">Monitoring results</t>
  </si>
  <si>
    <t xml:space="preserve">Fixes; source code and documentation</t>
  </si>
  <si>
    <t xml:space="preserve">Legend</t>
  </si>
  <si>
    <t xml:space="preserve">Blue bar</t>
  </si>
  <si>
    <t xml:space="preserve">Task: shaded in every week the task is active (formula-driven from Start and End)</t>
  </si>
  <si>
    <t xml:space="preserve">Amber cell with a diamond</t>
  </si>
  <si>
    <t xml:space="preserve">Milestone: a fixed date set by SIT or by the plan</t>
  </si>
  <si>
    <t xml:space="preserve">Grey bar</t>
  </si>
  <si>
    <t xml:space="preserve">Stretch goal: done only if earlier stages are stable</t>
  </si>
  <si>
    <t xml:space="preserve">Light-blue row</t>
  </si>
  <si>
    <t xml:space="preserve">Group heading</t>
  </si>
  <si>
    <t xml:space="preserve">How to edit: change Start or End dates (blue text, columns C and D) and the bars redraw. Change the chart start date in Gantt!B3 to shift the weekly columns.</t>
  </si>
  <si>
    <t xml:space="preserve">Weekly columns: 27 weeks from Thu 8 Oct 2026; the last column (week of 8 Apr 2027) contains the Final Presentation on 11 Apr 2027.</t>
  </si>
  <si>
    <t xml:space="preserve">Capstone period: 8 Oct 2026 to 31 Mar 2027. The Final Presentation on 11 Apr 2027 falls after the period.</t>
  </si>
  <si>
    <t xml:space="preserve">Phasing: Workstream 1 is heavier from Oct to early Dec; Workstream 2 design continues at low intensity, then the build runs Dec to Jan.</t>
  </si>
  <si>
    <t xml:space="preserve">Assumptions: single owner (the student) for all rows; sub-task dates inside each phase are planning estimates; Trend detection is a stretch goal; Tier 2 comparisons are under investigation and not scheduled for evaluation.</t>
  </si>
  <si>
    <t xml:space="preserve">Example of a row: 'Run Tier 1 evaluation' | Task | 9 Nov 2026 | 27 Nov 2026 | Robin | Harness; labelled test inputs | Raw results dataset.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</si>
</sst>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 mmm\ yyyy"/>
    <numFmt numFmtId="166" formatCode="d\ m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7A4B0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  <fill>
      <patternFill patternType="solid">
        <fgColor rgb="FFD9E2F3"/>
        <bgColor rgb="FFD0D5DD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FF99"/>
      </patternFill>
    </fill>
    <fill>
      <patternFill patternType="solid">
        <fgColor rgb="FFA6A6A6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2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D966"/>
        </patternFill>
      </fill>
    </dxf>
    <dxf>
      <fill>
        <patternFill>
          <bgColor rgb="FFA6A6A6"/>
        </patternFill>
      </fill>
    </dxf>
    <dxf>
      <fill>
        <patternFill>
          <bgColor rgb="FF2E75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A6A6A6"/>
      <rgbColor rgb="FF1F3A68"/>
      <rgbColor rgb="FF339966"/>
      <rgbColor rgb="FF003300"/>
      <rgbColor rgb="FF333300"/>
      <rgbColor rgb="FF7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4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H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34" min="8" style="0" width="3.6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46303</v>
      </c>
    </row>
    <row r="4" customFormat="false" ht="15" hidden="false" customHeight="false" outlineLevel="0" collapsed="false">
      <c r="H4" s="5" t="str">
        <f aca="false">TEXT(H5,"mmm yy")</f>
        <v>Oct 26</v>
      </c>
      <c r="I4" s="5" t="str">
        <f aca="false">IF(TEXT(I5,"mmm yy")=TEXT(H5,"mmm yy"),"",TEXT(I5,"mmm yy"))</f>
        <v/>
      </c>
      <c r="J4" s="5" t="str">
        <f aca="false">IF(TEXT(J5,"mmm yy")=TEXT(I5,"mmm yy"),"",TEXT(J5,"mmm yy"))</f>
        <v/>
      </c>
      <c r="K4" s="5" t="str">
        <f aca="false">IF(TEXT(K5,"mmm yy")=TEXT(J5,"mmm yy"),"",TEXT(K5,"mmm yy"))</f>
        <v/>
      </c>
      <c r="L4" s="5" t="str">
        <f aca="false">IF(TEXT(L5,"mmm yy")=TEXT(K5,"mmm yy"),"",TEXT(L5,"mmm yy"))</f>
        <v>Nov 26</v>
      </c>
      <c r="M4" s="5" t="str">
        <f aca="false">IF(TEXT(M5,"mmm yy")=TEXT(L5,"mmm yy"),"",TEXT(M5,"mmm yy"))</f>
        <v/>
      </c>
      <c r="N4" s="5" t="str">
        <f aca="false">IF(TEXT(N5,"mmm yy")=TEXT(M5,"mmm yy"),"",TEXT(N5,"mmm yy"))</f>
        <v/>
      </c>
      <c r="O4" s="5" t="str">
        <f aca="false">IF(TEXT(O5,"mmm yy")=TEXT(N5,"mmm yy"),"",TEXT(O5,"mmm yy"))</f>
        <v/>
      </c>
      <c r="P4" s="5" t="str">
        <f aca="false">IF(TEXT(P5,"mmm yy")=TEXT(O5,"mmm yy"),"",TEXT(P5,"mmm yy"))</f>
        <v>Dec 26</v>
      </c>
      <c r="Q4" s="5" t="str">
        <f aca="false">IF(TEXT(Q5,"mmm yy")=TEXT(P5,"mmm yy"),"",TEXT(Q5,"mmm yy"))</f>
        <v/>
      </c>
      <c r="R4" s="5" t="str">
        <f aca="false">IF(TEXT(R5,"mmm yy")=TEXT(Q5,"mmm yy"),"",TEXT(R5,"mmm yy"))</f>
        <v/>
      </c>
      <c r="S4" s="5" t="str">
        <f aca="false">IF(TEXT(S5,"mmm yy")=TEXT(R5,"mmm yy"),"",TEXT(S5,"mmm yy"))</f>
        <v/>
      </c>
      <c r="T4" s="5" t="str">
        <f aca="false">IF(TEXT(T5,"mmm yy")=TEXT(S5,"mmm yy"),"",TEXT(T5,"mmm yy"))</f>
        <v/>
      </c>
      <c r="U4" s="5" t="str">
        <f aca="false">IF(TEXT(U5,"mmm yy")=TEXT(T5,"mmm yy"),"",TEXT(U5,"mmm yy"))</f>
        <v>Jan 27</v>
      </c>
      <c r="V4" s="5" t="str">
        <f aca="false">IF(TEXT(V5,"mmm yy")=TEXT(U5,"mmm yy"),"",TEXT(V5,"mmm yy"))</f>
        <v/>
      </c>
      <c r="W4" s="5" t="str">
        <f aca="false">IF(TEXT(W5,"mmm yy")=TEXT(V5,"mmm yy"),"",TEXT(W5,"mmm yy"))</f>
        <v/>
      </c>
      <c r="X4" s="5" t="str">
        <f aca="false">IF(TEXT(X5,"mmm yy")=TEXT(W5,"mmm yy"),"",TEXT(X5,"mmm yy"))</f>
        <v/>
      </c>
      <c r="Y4" s="5" t="str">
        <f aca="false">IF(TEXT(Y5,"mmm yy")=TEXT(X5,"mmm yy"),"",TEXT(Y5,"mmm yy"))</f>
        <v>Feb 27</v>
      </c>
      <c r="Z4" s="5" t="str">
        <f aca="false">IF(TEXT(Z5,"mmm yy")=TEXT(Y5,"mmm yy"),"",TEXT(Z5,"mmm yy"))</f>
        <v/>
      </c>
      <c r="AA4" s="5" t="str">
        <f aca="false">IF(TEXT(AA5,"mmm yy")=TEXT(Z5,"mmm yy"),"",TEXT(AA5,"mmm yy"))</f>
        <v/>
      </c>
      <c r="AB4" s="5" t="str">
        <f aca="false">IF(TEXT(AB5,"mmm yy")=TEXT(AA5,"mmm yy"),"",TEXT(AB5,"mmm yy"))</f>
        <v/>
      </c>
      <c r="AC4" s="5" t="str">
        <f aca="false">IF(TEXT(AC5,"mmm yy")=TEXT(AB5,"mmm yy"),"",TEXT(AC5,"mmm yy"))</f>
        <v>Mar 27</v>
      </c>
      <c r="AD4" s="5" t="str">
        <f aca="false">IF(TEXT(AD5,"mmm yy")=TEXT(AC5,"mmm yy"),"",TEXT(AD5,"mmm yy"))</f>
        <v/>
      </c>
      <c r="AE4" s="5" t="str">
        <f aca="false">IF(TEXT(AE5,"mmm yy")=TEXT(AD5,"mmm yy"),"",TEXT(AE5,"mmm yy"))</f>
        <v/>
      </c>
      <c r="AF4" s="5" t="str">
        <f aca="false">IF(TEXT(AF5,"mmm yy")=TEXT(AE5,"mmm yy"),"",TEXT(AF5,"mmm yy"))</f>
        <v/>
      </c>
      <c r="AG4" s="5" t="str">
        <f aca="false">IF(TEXT(AG5,"mmm yy")=TEXT(AF5,"mmm yy"),"",TEXT(AG5,"mmm yy"))</f>
        <v>Apr 27</v>
      </c>
      <c r="AH4" s="5" t="str">
        <f aca="false">IF(TEXT(AH5,"mmm yy")=TEXT(AG5,"mmm yy"),"",TEXT(AH5,"mmm yy"))</f>
        <v/>
      </c>
    </row>
    <row r="5" customFormat="false" ht="42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n">
        <f aca="false">$B$3</f>
        <v>46303</v>
      </c>
      <c r="I5" s="7" t="n">
        <f aca="false">H5+7</f>
        <v>46310</v>
      </c>
      <c r="J5" s="7" t="n">
        <f aca="false">I5+7</f>
        <v>46317</v>
      </c>
      <c r="K5" s="7" t="n">
        <f aca="false">J5+7</f>
        <v>46324</v>
      </c>
      <c r="L5" s="7" t="n">
        <f aca="false">K5+7</f>
        <v>46331</v>
      </c>
      <c r="M5" s="7" t="n">
        <f aca="false">L5+7</f>
        <v>46338</v>
      </c>
      <c r="N5" s="7" t="n">
        <f aca="false">M5+7</f>
        <v>46345</v>
      </c>
      <c r="O5" s="7" t="n">
        <f aca="false">N5+7</f>
        <v>46352</v>
      </c>
      <c r="P5" s="7" t="n">
        <f aca="false">O5+7</f>
        <v>46359</v>
      </c>
      <c r="Q5" s="7" t="n">
        <f aca="false">P5+7</f>
        <v>46366</v>
      </c>
      <c r="R5" s="7" t="n">
        <f aca="false">Q5+7</f>
        <v>46373</v>
      </c>
      <c r="S5" s="7" t="n">
        <f aca="false">R5+7</f>
        <v>46380</v>
      </c>
      <c r="T5" s="7" t="n">
        <f aca="false">S5+7</f>
        <v>46387</v>
      </c>
      <c r="U5" s="7" t="n">
        <f aca="false">T5+7</f>
        <v>46394</v>
      </c>
      <c r="V5" s="7" t="n">
        <f aca="false">U5+7</f>
        <v>46401</v>
      </c>
      <c r="W5" s="7" t="n">
        <f aca="false">V5+7</f>
        <v>46408</v>
      </c>
      <c r="X5" s="7" t="n">
        <f aca="false">W5+7</f>
        <v>46415</v>
      </c>
      <c r="Y5" s="7" t="n">
        <f aca="false">X5+7</f>
        <v>46422</v>
      </c>
      <c r="Z5" s="7" t="n">
        <f aca="false">Y5+7</f>
        <v>46429</v>
      </c>
      <c r="AA5" s="7" t="n">
        <f aca="false">Z5+7</f>
        <v>46436</v>
      </c>
      <c r="AB5" s="7" t="n">
        <f aca="false">AA5+7</f>
        <v>46443</v>
      </c>
      <c r="AC5" s="7" t="n">
        <f aca="false">AB5+7</f>
        <v>46450</v>
      </c>
      <c r="AD5" s="7" t="n">
        <f aca="false">AC5+7</f>
        <v>46457</v>
      </c>
      <c r="AE5" s="7" t="n">
        <f aca="false">AD5+7</f>
        <v>46464</v>
      </c>
      <c r="AF5" s="7" t="n">
        <f aca="false">AE5+7</f>
        <v>46471</v>
      </c>
      <c r="AG5" s="7" t="n">
        <f aca="false">AF5+7</f>
        <v>46478</v>
      </c>
      <c r="AH5" s="7" t="n">
        <f aca="false">AG5+7</f>
        <v>46485</v>
      </c>
    </row>
    <row r="6" customFormat="false" ht="15" hidden="false" customHeight="false" outlineLevel="0" collapsed="false">
      <c r="A6" s="8" t="s">
        <v>10</v>
      </c>
      <c r="B6" s="8" t="s">
        <v>11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customFormat="false" ht="15" hidden="false" customHeight="false" outlineLevel="0" collapsed="false">
      <c r="A7" s="9" t="s">
        <v>12</v>
      </c>
      <c r="B7" s="9" t="s">
        <v>13</v>
      </c>
      <c r="C7" s="10" t="n">
        <v>46306</v>
      </c>
      <c r="D7" s="10" t="n">
        <v>46306</v>
      </c>
      <c r="E7" s="9" t="s">
        <v>14</v>
      </c>
      <c r="F7" s="9" t="s">
        <v>15</v>
      </c>
      <c r="G7" s="9" t="s">
        <v>16</v>
      </c>
      <c r="H7" s="11" t="str">
        <f aca="false">IF(AND($B7="Milestone",$C7&lt;=H$5+6,$D7&gt;=H$5),"◆","")</f>
        <v>◆</v>
      </c>
      <c r="I7" s="11" t="str">
        <f aca="false">IF(AND($B7="Milestone",$C7&lt;=I$5+6,$D7&gt;=I$5),"◆","")</f>
        <v/>
      </c>
      <c r="J7" s="11" t="str">
        <f aca="false">IF(AND($B7="Milestone",$C7&lt;=J$5+6,$D7&gt;=J$5),"◆","")</f>
        <v/>
      </c>
      <c r="K7" s="11" t="str">
        <f aca="false">IF(AND($B7="Milestone",$C7&lt;=K$5+6,$D7&gt;=K$5),"◆","")</f>
        <v/>
      </c>
      <c r="L7" s="11" t="str">
        <f aca="false">IF(AND($B7="Milestone",$C7&lt;=L$5+6,$D7&gt;=L$5),"◆","")</f>
        <v/>
      </c>
      <c r="M7" s="11" t="str">
        <f aca="false">IF(AND($B7="Milestone",$C7&lt;=M$5+6,$D7&gt;=M$5),"◆","")</f>
        <v/>
      </c>
      <c r="N7" s="11" t="str">
        <f aca="false">IF(AND($B7="Milestone",$C7&lt;=N$5+6,$D7&gt;=N$5),"◆","")</f>
        <v/>
      </c>
      <c r="O7" s="11" t="str">
        <f aca="false">IF(AND($B7="Milestone",$C7&lt;=O$5+6,$D7&gt;=O$5),"◆","")</f>
        <v/>
      </c>
      <c r="P7" s="11" t="str">
        <f aca="false">IF(AND($B7="Milestone",$C7&lt;=P$5+6,$D7&gt;=P$5),"◆","")</f>
        <v/>
      </c>
      <c r="Q7" s="11" t="str">
        <f aca="false">IF(AND($B7="Milestone",$C7&lt;=Q$5+6,$D7&gt;=Q$5),"◆","")</f>
        <v/>
      </c>
      <c r="R7" s="11" t="str">
        <f aca="false">IF(AND($B7="Milestone",$C7&lt;=R$5+6,$D7&gt;=R$5),"◆","")</f>
        <v/>
      </c>
      <c r="S7" s="11" t="str">
        <f aca="false">IF(AND($B7="Milestone",$C7&lt;=S$5+6,$D7&gt;=S$5),"◆","")</f>
        <v/>
      </c>
      <c r="T7" s="11" t="str">
        <f aca="false">IF(AND($B7="Milestone",$C7&lt;=T$5+6,$D7&gt;=T$5),"◆","")</f>
        <v/>
      </c>
      <c r="U7" s="11" t="str">
        <f aca="false">IF(AND($B7="Milestone",$C7&lt;=U$5+6,$D7&gt;=U$5),"◆","")</f>
        <v/>
      </c>
      <c r="V7" s="11" t="str">
        <f aca="false">IF(AND($B7="Milestone",$C7&lt;=V$5+6,$D7&gt;=V$5),"◆","")</f>
        <v/>
      </c>
      <c r="W7" s="11" t="str">
        <f aca="false">IF(AND($B7="Milestone",$C7&lt;=W$5+6,$D7&gt;=W$5),"◆","")</f>
        <v/>
      </c>
      <c r="X7" s="11" t="str">
        <f aca="false">IF(AND($B7="Milestone",$C7&lt;=X$5+6,$D7&gt;=X$5),"◆","")</f>
        <v/>
      </c>
      <c r="Y7" s="11" t="str">
        <f aca="false">IF(AND($B7="Milestone",$C7&lt;=Y$5+6,$D7&gt;=Y$5),"◆","")</f>
        <v/>
      </c>
      <c r="Z7" s="11" t="str">
        <f aca="false">IF(AND($B7="Milestone",$C7&lt;=Z$5+6,$D7&gt;=Z$5),"◆","")</f>
        <v/>
      </c>
      <c r="AA7" s="11" t="str">
        <f aca="false">IF(AND($B7="Milestone",$C7&lt;=AA$5+6,$D7&gt;=AA$5),"◆","")</f>
        <v/>
      </c>
      <c r="AB7" s="11" t="str">
        <f aca="false">IF(AND($B7="Milestone",$C7&lt;=AB$5+6,$D7&gt;=AB$5),"◆","")</f>
        <v/>
      </c>
      <c r="AC7" s="11" t="str">
        <f aca="false">IF(AND($B7="Milestone",$C7&lt;=AC$5+6,$D7&gt;=AC$5),"◆","")</f>
        <v/>
      </c>
      <c r="AD7" s="11" t="str">
        <f aca="false">IF(AND($B7="Milestone",$C7&lt;=AD$5+6,$D7&gt;=AD$5),"◆","")</f>
        <v/>
      </c>
      <c r="AE7" s="11" t="str">
        <f aca="false">IF(AND($B7="Milestone",$C7&lt;=AE$5+6,$D7&gt;=AE$5),"◆","")</f>
        <v/>
      </c>
      <c r="AF7" s="11" t="str">
        <f aca="false">IF(AND($B7="Milestone",$C7&lt;=AF$5+6,$D7&gt;=AF$5),"◆","")</f>
        <v/>
      </c>
      <c r="AG7" s="11" t="str">
        <f aca="false">IF(AND($B7="Milestone",$C7&lt;=AG$5+6,$D7&gt;=AG$5),"◆","")</f>
        <v/>
      </c>
      <c r="AH7" s="11" t="str">
        <f aca="false">IF(AND($B7="Milestone",$C7&lt;=AH$5+6,$D7&gt;=AH$5),"◆","")</f>
        <v/>
      </c>
    </row>
    <row r="8" customFormat="false" ht="22.35" hidden="false" customHeight="false" outlineLevel="0" collapsed="false">
      <c r="A8" s="9" t="s">
        <v>17</v>
      </c>
      <c r="B8" s="9" t="s">
        <v>13</v>
      </c>
      <c r="C8" s="10" t="n">
        <v>46362</v>
      </c>
      <c r="D8" s="10" t="n">
        <v>46362</v>
      </c>
      <c r="E8" s="9" t="s">
        <v>14</v>
      </c>
      <c r="F8" s="9" t="s">
        <v>18</v>
      </c>
      <c r="G8" s="9" t="s">
        <v>19</v>
      </c>
      <c r="H8" s="11" t="str">
        <f aca="false">IF(AND($B8="Milestone",$C8&lt;=H$5+6,$D8&gt;=H$5),"◆","")</f>
        <v/>
      </c>
      <c r="I8" s="11" t="str">
        <f aca="false">IF(AND($B8="Milestone",$C8&lt;=I$5+6,$D8&gt;=I$5),"◆","")</f>
        <v/>
      </c>
      <c r="J8" s="11" t="str">
        <f aca="false">IF(AND($B8="Milestone",$C8&lt;=J$5+6,$D8&gt;=J$5),"◆","")</f>
        <v/>
      </c>
      <c r="K8" s="11" t="str">
        <f aca="false">IF(AND($B8="Milestone",$C8&lt;=K$5+6,$D8&gt;=K$5),"◆","")</f>
        <v/>
      </c>
      <c r="L8" s="11" t="str">
        <f aca="false">IF(AND($B8="Milestone",$C8&lt;=L$5+6,$D8&gt;=L$5),"◆","")</f>
        <v/>
      </c>
      <c r="M8" s="11" t="str">
        <f aca="false">IF(AND($B8="Milestone",$C8&lt;=M$5+6,$D8&gt;=M$5),"◆","")</f>
        <v/>
      </c>
      <c r="N8" s="11" t="str">
        <f aca="false">IF(AND($B8="Milestone",$C8&lt;=N$5+6,$D8&gt;=N$5),"◆","")</f>
        <v/>
      </c>
      <c r="O8" s="11" t="str">
        <f aca="false">IF(AND($B8="Milestone",$C8&lt;=O$5+6,$D8&gt;=O$5),"◆","")</f>
        <v/>
      </c>
      <c r="P8" s="11" t="str">
        <f aca="false">IF(AND($B8="Milestone",$C8&lt;=P$5+6,$D8&gt;=P$5),"◆","")</f>
        <v>◆</v>
      </c>
      <c r="Q8" s="11" t="str">
        <f aca="false">IF(AND($B8="Milestone",$C8&lt;=Q$5+6,$D8&gt;=Q$5),"◆","")</f>
        <v/>
      </c>
      <c r="R8" s="11" t="str">
        <f aca="false">IF(AND($B8="Milestone",$C8&lt;=R$5+6,$D8&gt;=R$5),"◆","")</f>
        <v/>
      </c>
      <c r="S8" s="11" t="str">
        <f aca="false">IF(AND($B8="Milestone",$C8&lt;=S$5+6,$D8&gt;=S$5),"◆","")</f>
        <v/>
      </c>
      <c r="T8" s="11" t="str">
        <f aca="false">IF(AND($B8="Milestone",$C8&lt;=T$5+6,$D8&gt;=T$5),"◆","")</f>
        <v/>
      </c>
      <c r="U8" s="11" t="str">
        <f aca="false">IF(AND($B8="Milestone",$C8&lt;=U$5+6,$D8&gt;=U$5),"◆","")</f>
        <v/>
      </c>
      <c r="V8" s="11" t="str">
        <f aca="false">IF(AND($B8="Milestone",$C8&lt;=V$5+6,$D8&gt;=V$5),"◆","")</f>
        <v/>
      </c>
      <c r="W8" s="11" t="str">
        <f aca="false">IF(AND($B8="Milestone",$C8&lt;=W$5+6,$D8&gt;=W$5),"◆","")</f>
        <v/>
      </c>
      <c r="X8" s="11" t="str">
        <f aca="false">IF(AND($B8="Milestone",$C8&lt;=X$5+6,$D8&gt;=X$5),"◆","")</f>
        <v/>
      </c>
      <c r="Y8" s="11" t="str">
        <f aca="false">IF(AND($B8="Milestone",$C8&lt;=Y$5+6,$D8&gt;=Y$5),"◆","")</f>
        <v/>
      </c>
      <c r="Z8" s="11" t="str">
        <f aca="false">IF(AND($B8="Milestone",$C8&lt;=Z$5+6,$D8&gt;=Z$5),"◆","")</f>
        <v/>
      </c>
      <c r="AA8" s="11" t="str">
        <f aca="false">IF(AND($B8="Milestone",$C8&lt;=AA$5+6,$D8&gt;=AA$5),"◆","")</f>
        <v/>
      </c>
      <c r="AB8" s="11" t="str">
        <f aca="false">IF(AND($B8="Milestone",$C8&lt;=AB$5+6,$D8&gt;=AB$5),"◆","")</f>
        <v/>
      </c>
      <c r="AC8" s="11" t="str">
        <f aca="false">IF(AND($B8="Milestone",$C8&lt;=AC$5+6,$D8&gt;=AC$5),"◆","")</f>
        <v/>
      </c>
      <c r="AD8" s="11" t="str">
        <f aca="false">IF(AND($B8="Milestone",$C8&lt;=AD$5+6,$D8&gt;=AD$5),"◆","")</f>
        <v/>
      </c>
      <c r="AE8" s="11" t="str">
        <f aca="false">IF(AND($B8="Milestone",$C8&lt;=AE$5+6,$D8&gt;=AE$5),"◆","")</f>
        <v/>
      </c>
      <c r="AF8" s="11" t="str">
        <f aca="false">IF(AND($B8="Milestone",$C8&lt;=AF$5+6,$D8&gt;=AF$5),"◆","")</f>
        <v/>
      </c>
      <c r="AG8" s="11" t="str">
        <f aca="false">IF(AND($B8="Milestone",$C8&lt;=AG$5+6,$D8&gt;=AG$5),"◆","")</f>
        <v/>
      </c>
      <c r="AH8" s="11" t="str">
        <f aca="false">IF(AND($B8="Milestone",$C8&lt;=AH$5+6,$D8&gt;=AH$5),"◆","")</f>
        <v/>
      </c>
    </row>
    <row r="9" customFormat="false" ht="15" hidden="false" customHeight="false" outlineLevel="0" collapsed="false">
      <c r="A9" s="9" t="s">
        <v>20</v>
      </c>
      <c r="B9" s="9" t="s">
        <v>13</v>
      </c>
      <c r="C9" s="10" t="n">
        <v>46418</v>
      </c>
      <c r="D9" s="10" t="n">
        <v>46418</v>
      </c>
      <c r="E9" s="9" t="s">
        <v>14</v>
      </c>
      <c r="F9" s="9" t="s">
        <v>21</v>
      </c>
      <c r="G9" s="9" t="s">
        <v>20</v>
      </c>
      <c r="H9" s="11" t="str">
        <f aca="false">IF(AND($B9="Milestone",$C9&lt;=H$5+6,$D9&gt;=H$5),"◆","")</f>
        <v/>
      </c>
      <c r="I9" s="11" t="str">
        <f aca="false">IF(AND($B9="Milestone",$C9&lt;=I$5+6,$D9&gt;=I$5),"◆","")</f>
        <v/>
      </c>
      <c r="J9" s="11" t="str">
        <f aca="false">IF(AND($B9="Milestone",$C9&lt;=J$5+6,$D9&gt;=J$5),"◆","")</f>
        <v/>
      </c>
      <c r="K9" s="11" t="str">
        <f aca="false">IF(AND($B9="Milestone",$C9&lt;=K$5+6,$D9&gt;=K$5),"◆","")</f>
        <v/>
      </c>
      <c r="L9" s="11" t="str">
        <f aca="false">IF(AND($B9="Milestone",$C9&lt;=L$5+6,$D9&gt;=L$5),"◆","")</f>
        <v/>
      </c>
      <c r="M9" s="11" t="str">
        <f aca="false">IF(AND($B9="Milestone",$C9&lt;=M$5+6,$D9&gt;=M$5),"◆","")</f>
        <v/>
      </c>
      <c r="N9" s="11" t="str">
        <f aca="false">IF(AND($B9="Milestone",$C9&lt;=N$5+6,$D9&gt;=N$5),"◆","")</f>
        <v/>
      </c>
      <c r="O9" s="11" t="str">
        <f aca="false">IF(AND($B9="Milestone",$C9&lt;=O$5+6,$D9&gt;=O$5),"◆","")</f>
        <v/>
      </c>
      <c r="P9" s="11" t="str">
        <f aca="false">IF(AND($B9="Milestone",$C9&lt;=P$5+6,$D9&gt;=P$5),"◆","")</f>
        <v/>
      </c>
      <c r="Q9" s="11" t="str">
        <f aca="false">IF(AND($B9="Milestone",$C9&lt;=Q$5+6,$D9&gt;=Q$5),"◆","")</f>
        <v/>
      </c>
      <c r="R9" s="11" t="str">
        <f aca="false">IF(AND($B9="Milestone",$C9&lt;=R$5+6,$D9&gt;=R$5),"◆","")</f>
        <v/>
      </c>
      <c r="S9" s="11" t="str">
        <f aca="false">IF(AND($B9="Milestone",$C9&lt;=S$5+6,$D9&gt;=S$5),"◆","")</f>
        <v/>
      </c>
      <c r="T9" s="11" t="str">
        <f aca="false">IF(AND($B9="Milestone",$C9&lt;=T$5+6,$D9&gt;=T$5),"◆","")</f>
        <v/>
      </c>
      <c r="U9" s="11" t="str">
        <f aca="false">IF(AND($B9="Milestone",$C9&lt;=U$5+6,$D9&gt;=U$5),"◆","")</f>
        <v/>
      </c>
      <c r="V9" s="11" t="str">
        <f aca="false">IF(AND($B9="Milestone",$C9&lt;=V$5+6,$D9&gt;=V$5),"◆","")</f>
        <v/>
      </c>
      <c r="W9" s="11" t="str">
        <f aca="false">IF(AND($B9="Milestone",$C9&lt;=W$5+6,$D9&gt;=W$5),"◆","")</f>
        <v/>
      </c>
      <c r="X9" s="11" t="str">
        <f aca="false">IF(AND($B9="Milestone",$C9&lt;=X$5+6,$D9&gt;=X$5),"◆","")</f>
        <v>◆</v>
      </c>
      <c r="Y9" s="11" t="str">
        <f aca="false">IF(AND($B9="Milestone",$C9&lt;=Y$5+6,$D9&gt;=Y$5),"◆","")</f>
        <v/>
      </c>
      <c r="Z9" s="11" t="str">
        <f aca="false">IF(AND($B9="Milestone",$C9&lt;=Z$5+6,$D9&gt;=Z$5),"◆","")</f>
        <v/>
      </c>
      <c r="AA9" s="11" t="str">
        <f aca="false">IF(AND($B9="Milestone",$C9&lt;=AA$5+6,$D9&gt;=AA$5),"◆","")</f>
        <v/>
      </c>
      <c r="AB9" s="11" t="str">
        <f aca="false">IF(AND($B9="Milestone",$C9&lt;=AB$5+6,$D9&gt;=AB$5),"◆","")</f>
        <v/>
      </c>
      <c r="AC9" s="11" t="str">
        <f aca="false">IF(AND($B9="Milestone",$C9&lt;=AC$5+6,$D9&gt;=AC$5),"◆","")</f>
        <v/>
      </c>
      <c r="AD9" s="11" t="str">
        <f aca="false">IF(AND($B9="Milestone",$C9&lt;=AD$5+6,$D9&gt;=AD$5),"◆","")</f>
        <v/>
      </c>
      <c r="AE9" s="11" t="str">
        <f aca="false">IF(AND($B9="Milestone",$C9&lt;=AE$5+6,$D9&gt;=AE$5),"◆","")</f>
        <v/>
      </c>
      <c r="AF9" s="11" t="str">
        <f aca="false">IF(AND($B9="Milestone",$C9&lt;=AF$5+6,$D9&gt;=AF$5),"◆","")</f>
        <v/>
      </c>
      <c r="AG9" s="11" t="str">
        <f aca="false">IF(AND($B9="Milestone",$C9&lt;=AG$5+6,$D9&gt;=AG$5),"◆","")</f>
        <v/>
      </c>
      <c r="AH9" s="11" t="str">
        <f aca="false">IF(AND($B9="Milestone",$C9&lt;=AH$5+6,$D9&gt;=AH$5),"◆","")</f>
        <v/>
      </c>
    </row>
    <row r="10" customFormat="false" ht="22.35" hidden="false" customHeight="false" outlineLevel="0" collapsed="false">
      <c r="A10" s="9" t="s">
        <v>22</v>
      </c>
      <c r="B10" s="9" t="s">
        <v>13</v>
      </c>
      <c r="C10" s="10" t="n">
        <v>46467</v>
      </c>
      <c r="D10" s="10" t="n">
        <v>46467</v>
      </c>
      <c r="E10" s="9" t="s">
        <v>14</v>
      </c>
      <c r="F10" s="9" t="s">
        <v>23</v>
      </c>
      <c r="G10" s="9" t="s">
        <v>24</v>
      </c>
      <c r="H10" s="11" t="str">
        <f aca="false">IF(AND($B10="Milestone",$C10&lt;=H$5+6,$D10&gt;=H$5),"◆","")</f>
        <v/>
      </c>
      <c r="I10" s="11" t="str">
        <f aca="false">IF(AND($B10="Milestone",$C10&lt;=I$5+6,$D10&gt;=I$5),"◆","")</f>
        <v/>
      </c>
      <c r="J10" s="11" t="str">
        <f aca="false">IF(AND($B10="Milestone",$C10&lt;=J$5+6,$D10&gt;=J$5),"◆","")</f>
        <v/>
      </c>
      <c r="K10" s="11" t="str">
        <f aca="false">IF(AND($B10="Milestone",$C10&lt;=K$5+6,$D10&gt;=K$5),"◆","")</f>
        <v/>
      </c>
      <c r="L10" s="11" t="str">
        <f aca="false">IF(AND($B10="Milestone",$C10&lt;=L$5+6,$D10&gt;=L$5),"◆","")</f>
        <v/>
      </c>
      <c r="M10" s="11" t="str">
        <f aca="false">IF(AND($B10="Milestone",$C10&lt;=M$5+6,$D10&gt;=M$5),"◆","")</f>
        <v/>
      </c>
      <c r="N10" s="11" t="str">
        <f aca="false">IF(AND($B10="Milestone",$C10&lt;=N$5+6,$D10&gt;=N$5),"◆","")</f>
        <v/>
      </c>
      <c r="O10" s="11" t="str">
        <f aca="false">IF(AND($B10="Milestone",$C10&lt;=O$5+6,$D10&gt;=O$5),"◆","")</f>
        <v/>
      </c>
      <c r="P10" s="11" t="str">
        <f aca="false">IF(AND($B10="Milestone",$C10&lt;=P$5+6,$D10&gt;=P$5),"◆","")</f>
        <v/>
      </c>
      <c r="Q10" s="11" t="str">
        <f aca="false">IF(AND($B10="Milestone",$C10&lt;=Q$5+6,$D10&gt;=Q$5),"◆","")</f>
        <v/>
      </c>
      <c r="R10" s="11" t="str">
        <f aca="false">IF(AND($B10="Milestone",$C10&lt;=R$5+6,$D10&gt;=R$5),"◆","")</f>
        <v/>
      </c>
      <c r="S10" s="11" t="str">
        <f aca="false">IF(AND($B10="Milestone",$C10&lt;=S$5+6,$D10&gt;=S$5),"◆","")</f>
        <v/>
      </c>
      <c r="T10" s="11" t="str">
        <f aca="false">IF(AND($B10="Milestone",$C10&lt;=T$5+6,$D10&gt;=T$5),"◆","")</f>
        <v/>
      </c>
      <c r="U10" s="11" t="str">
        <f aca="false">IF(AND($B10="Milestone",$C10&lt;=U$5+6,$D10&gt;=U$5),"◆","")</f>
        <v/>
      </c>
      <c r="V10" s="11" t="str">
        <f aca="false">IF(AND($B10="Milestone",$C10&lt;=V$5+6,$D10&gt;=V$5),"◆","")</f>
        <v/>
      </c>
      <c r="W10" s="11" t="str">
        <f aca="false">IF(AND($B10="Milestone",$C10&lt;=W$5+6,$D10&gt;=W$5),"◆","")</f>
        <v/>
      </c>
      <c r="X10" s="11" t="str">
        <f aca="false">IF(AND($B10="Milestone",$C10&lt;=X$5+6,$D10&gt;=X$5),"◆","")</f>
        <v/>
      </c>
      <c r="Y10" s="11" t="str">
        <f aca="false">IF(AND($B10="Milestone",$C10&lt;=Y$5+6,$D10&gt;=Y$5),"◆","")</f>
        <v/>
      </c>
      <c r="Z10" s="11" t="str">
        <f aca="false">IF(AND($B10="Milestone",$C10&lt;=Z$5+6,$D10&gt;=Z$5),"◆","")</f>
        <v/>
      </c>
      <c r="AA10" s="11" t="str">
        <f aca="false">IF(AND($B10="Milestone",$C10&lt;=AA$5+6,$D10&gt;=AA$5),"◆","")</f>
        <v/>
      </c>
      <c r="AB10" s="11" t="str">
        <f aca="false">IF(AND($B10="Milestone",$C10&lt;=AB$5+6,$D10&gt;=AB$5),"◆","")</f>
        <v/>
      </c>
      <c r="AC10" s="11" t="str">
        <f aca="false">IF(AND($B10="Milestone",$C10&lt;=AC$5+6,$D10&gt;=AC$5),"◆","")</f>
        <v/>
      </c>
      <c r="AD10" s="11" t="str">
        <f aca="false">IF(AND($B10="Milestone",$C10&lt;=AD$5+6,$D10&gt;=AD$5),"◆","")</f>
        <v/>
      </c>
      <c r="AE10" s="11" t="str">
        <f aca="false">IF(AND($B10="Milestone",$C10&lt;=AE$5+6,$D10&gt;=AE$5),"◆","")</f>
        <v>◆</v>
      </c>
      <c r="AF10" s="11" t="str">
        <f aca="false">IF(AND($B10="Milestone",$C10&lt;=AF$5+6,$D10&gt;=AF$5),"◆","")</f>
        <v/>
      </c>
      <c r="AG10" s="11" t="str">
        <f aca="false">IF(AND($B10="Milestone",$C10&lt;=AG$5+6,$D10&gt;=AG$5),"◆","")</f>
        <v/>
      </c>
      <c r="AH10" s="11" t="str">
        <f aca="false">IF(AND($B10="Milestone",$C10&lt;=AH$5+6,$D10&gt;=AH$5),"◆","")</f>
        <v/>
      </c>
    </row>
    <row r="11" customFormat="false" ht="15" hidden="false" customHeight="false" outlineLevel="0" collapsed="false">
      <c r="A11" s="9" t="s">
        <v>25</v>
      </c>
      <c r="B11" s="9" t="s">
        <v>13</v>
      </c>
      <c r="C11" s="10" t="n">
        <v>46477</v>
      </c>
      <c r="D11" s="10" t="n">
        <v>46477</v>
      </c>
      <c r="E11" s="9" t="s">
        <v>14</v>
      </c>
      <c r="F11" s="9" t="s">
        <v>24</v>
      </c>
      <c r="G11" s="9" t="s">
        <v>26</v>
      </c>
      <c r="H11" s="11" t="str">
        <f aca="false">IF(AND($B11="Milestone",$C11&lt;=H$5+6,$D11&gt;=H$5),"◆","")</f>
        <v/>
      </c>
      <c r="I11" s="11" t="str">
        <f aca="false">IF(AND($B11="Milestone",$C11&lt;=I$5+6,$D11&gt;=I$5),"◆","")</f>
        <v/>
      </c>
      <c r="J11" s="11" t="str">
        <f aca="false">IF(AND($B11="Milestone",$C11&lt;=J$5+6,$D11&gt;=J$5),"◆","")</f>
        <v/>
      </c>
      <c r="K11" s="11" t="str">
        <f aca="false">IF(AND($B11="Milestone",$C11&lt;=K$5+6,$D11&gt;=K$5),"◆","")</f>
        <v/>
      </c>
      <c r="L11" s="11" t="str">
        <f aca="false">IF(AND($B11="Milestone",$C11&lt;=L$5+6,$D11&gt;=L$5),"◆","")</f>
        <v/>
      </c>
      <c r="M11" s="11" t="str">
        <f aca="false">IF(AND($B11="Milestone",$C11&lt;=M$5+6,$D11&gt;=M$5),"◆","")</f>
        <v/>
      </c>
      <c r="N11" s="11" t="str">
        <f aca="false">IF(AND($B11="Milestone",$C11&lt;=N$5+6,$D11&gt;=N$5),"◆","")</f>
        <v/>
      </c>
      <c r="O11" s="11" t="str">
        <f aca="false">IF(AND($B11="Milestone",$C11&lt;=O$5+6,$D11&gt;=O$5),"◆","")</f>
        <v/>
      </c>
      <c r="P11" s="11" t="str">
        <f aca="false">IF(AND($B11="Milestone",$C11&lt;=P$5+6,$D11&gt;=P$5),"◆","")</f>
        <v/>
      </c>
      <c r="Q11" s="11" t="str">
        <f aca="false">IF(AND($B11="Milestone",$C11&lt;=Q$5+6,$D11&gt;=Q$5),"◆","")</f>
        <v/>
      </c>
      <c r="R11" s="11" t="str">
        <f aca="false">IF(AND($B11="Milestone",$C11&lt;=R$5+6,$D11&gt;=R$5),"◆","")</f>
        <v/>
      </c>
      <c r="S11" s="11" t="str">
        <f aca="false">IF(AND($B11="Milestone",$C11&lt;=S$5+6,$D11&gt;=S$5),"◆","")</f>
        <v/>
      </c>
      <c r="T11" s="11" t="str">
        <f aca="false">IF(AND($B11="Milestone",$C11&lt;=T$5+6,$D11&gt;=T$5),"◆","")</f>
        <v/>
      </c>
      <c r="U11" s="11" t="str">
        <f aca="false">IF(AND($B11="Milestone",$C11&lt;=U$5+6,$D11&gt;=U$5),"◆","")</f>
        <v/>
      </c>
      <c r="V11" s="11" t="str">
        <f aca="false">IF(AND($B11="Milestone",$C11&lt;=V$5+6,$D11&gt;=V$5),"◆","")</f>
        <v/>
      </c>
      <c r="W11" s="11" t="str">
        <f aca="false">IF(AND($B11="Milestone",$C11&lt;=W$5+6,$D11&gt;=W$5),"◆","")</f>
        <v/>
      </c>
      <c r="X11" s="11" t="str">
        <f aca="false">IF(AND($B11="Milestone",$C11&lt;=X$5+6,$D11&gt;=X$5),"◆","")</f>
        <v/>
      </c>
      <c r="Y11" s="11" t="str">
        <f aca="false">IF(AND($B11="Milestone",$C11&lt;=Y$5+6,$D11&gt;=Y$5),"◆","")</f>
        <v/>
      </c>
      <c r="Z11" s="11" t="str">
        <f aca="false">IF(AND($B11="Milestone",$C11&lt;=Z$5+6,$D11&gt;=Z$5),"◆","")</f>
        <v/>
      </c>
      <c r="AA11" s="11" t="str">
        <f aca="false">IF(AND($B11="Milestone",$C11&lt;=AA$5+6,$D11&gt;=AA$5),"◆","")</f>
        <v/>
      </c>
      <c r="AB11" s="11" t="str">
        <f aca="false">IF(AND($B11="Milestone",$C11&lt;=AB$5+6,$D11&gt;=AB$5),"◆","")</f>
        <v/>
      </c>
      <c r="AC11" s="11" t="str">
        <f aca="false">IF(AND($B11="Milestone",$C11&lt;=AC$5+6,$D11&gt;=AC$5),"◆","")</f>
        <v/>
      </c>
      <c r="AD11" s="11" t="str">
        <f aca="false">IF(AND($B11="Milestone",$C11&lt;=AD$5+6,$D11&gt;=AD$5),"◆","")</f>
        <v/>
      </c>
      <c r="AE11" s="11" t="str">
        <f aca="false">IF(AND($B11="Milestone",$C11&lt;=AE$5+6,$D11&gt;=AE$5),"◆","")</f>
        <v/>
      </c>
      <c r="AF11" s="11" t="str">
        <f aca="false">IF(AND($B11="Milestone",$C11&lt;=AF$5+6,$D11&gt;=AF$5),"◆","")</f>
        <v>◆</v>
      </c>
      <c r="AG11" s="11" t="str">
        <f aca="false">IF(AND($B11="Milestone",$C11&lt;=AG$5+6,$D11&gt;=AG$5),"◆","")</f>
        <v/>
      </c>
      <c r="AH11" s="11" t="str">
        <f aca="false">IF(AND($B11="Milestone",$C11&lt;=AH$5+6,$D11&gt;=AH$5),"◆","")</f>
        <v/>
      </c>
    </row>
    <row r="12" customFormat="false" ht="15" hidden="false" customHeight="false" outlineLevel="0" collapsed="false">
      <c r="A12" s="9" t="s">
        <v>27</v>
      </c>
      <c r="B12" s="9" t="s">
        <v>13</v>
      </c>
      <c r="C12" s="10" t="n">
        <v>46488</v>
      </c>
      <c r="D12" s="10" t="n">
        <v>46488</v>
      </c>
      <c r="E12" s="9" t="s">
        <v>14</v>
      </c>
      <c r="F12" s="9" t="s">
        <v>24</v>
      </c>
      <c r="G12" s="9" t="s">
        <v>28</v>
      </c>
      <c r="H12" s="11" t="str">
        <f aca="false">IF(AND($B12="Milestone",$C12&lt;=H$5+6,$D12&gt;=H$5),"◆","")</f>
        <v/>
      </c>
      <c r="I12" s="11" t="str">
        <f aca="false">IF(AND($B12="Milestone",$C12&lt;=I$5+6,$D12&gt;=I$5),"◆","")</f>
        <v/>
      </c>
      <c r="J12" s="11" t="str">
        <f aca="false">IF(AND($B12="Milestone",$C12&lt;=J$5+6,$D12&gt;=J$5),"◆","")</f>
        <v/>
      </c>
      <c r="K12" s="11" t="str">
        <f aca="false">IF(AND($B12="Milestone",$C12&lt;=K$5+6,$D12&gt;=K$5),"◆","")</f>
        <v/>
      </c>
      <c r="L12" s="11" t="str">
        <f aca="false">IF(AND($B12="Milestone",$C12&lt;=L$5+6,$D12&gt;=L$5),"◆","")</f>
        <v/>
      </c>
      <c r="M12" s="11" t="str">
        <f aca="false">IF(AND($B12="Milestone",$C12&lt;=M$5+6,$D12&gt;=M$5),"◆","")</f>
        <v/>
      </c>
      <c r="N12" s="11" t="str">
        <f aca="false">IF(AND($B12="Milestone",$C12&lt;=N$5+6,$D12&gt;=N$5),"◆","")</f>
        <v/>
      </c>
      <c r="O12" s="11" t="str">
        <f aca="false">IF(AND($B12="Milestone",$C12&lt;=O$5+6,$D12&gt;=O$5),"◆","")</f>
        <v/>
      </c>
      <c r="P12" s="11" t="str">
        <f aca="false">IF(AND($B12="Milestone",$C12&lt;=P$5+6,$D12&gt;=P$5),"◆","")</f>
        <v/>
      </c>
      <c r="Q12" s="11" t="str">
        <f aca="false">IF(AND($B12="Milestone",$C12&lt;=Q$5+6,$D12&gt;=Q$5),"◆","")</f>
        <v/>
      </c>
      <c r="R12" s="11" t="str">
        <f aca="false">IF(AND($B12="Milestone",$C12&lt;=R$5+6,$D12&gt;=R$5),"◆","")</f>
        <v/>
      </c>
      <c r="S12" s="11" t="str">
        <f aca="false">IF(AND($B12="Milestone",$C12&lt;=S$5+6,$D12&gt;=S$5),"◆","")</f>
        <v/>
      </c>
      <c r="T12" s="11" t="str">
        <f aca="false">IF(AND($B12="Milestone",$C12&lt;=T$5+6,$D12&gt;=T$5),"◆","")</f>
        <v/>
      </c>
      <c r="U12" s="11" t="str">
        <f aca="false">IF(AND($B12="Milestone",$C12&lt;=U$5+6,$D12&gt;=U$5),"◆","")</f>
        <v/>
      </c>
      <c r="V12" s="11" t="str">
        <f aca="false">IF(AND($B12="Milestone",$C12&lt;=V$5+6,$D12&gt;=V$5),"◆","")</f>
        <v/>
      </c>
      <c r="W12" s="11" t="str">
        <f aca="false">IF(AND($B12="Milestone",$C12&lt;=W$5+6,$D12&gt;=W$5),"◆","")</f>
        <v/>
      </c>
      <c r="X12" s="11" t="str">
        <f aca="false">IF(AND($B12="Milestone",$C12&lt;=X$5+6,$D12&gt;=X$5),"◆","")</f>
        <v/>
      </c>
      <c r="Y12" s="11" t="str">
        <f aca="false">IF(AND($B12="Milestone",$C12&lt;=Y$5+6,$D12&gt;=Y$5),"◆","")</f>
        <v/>
      </c>
      <c r="Z12" s="11" t="str">
        <f aca="false">IF(AND($B12="Milestone",$C12&lt;=Z$5+6,$D12&gt;=Z$5),"◆","")</f>
        <v/>
      </c>
      <c r="AA12" s="11" t="str">
        <f aca="false">IF(AND($B12="Milestone",$C12&lt;=AA$5+6,$D12&gt;=AA$5),"◆","")</f>
        <v/>
      </c>
      <c r="AB12" s="11" t="str">
        <f aca="false">IF(AND($B12="Milestone",$C12&lt;=AB$5+6,$D12&gt;=AB$5),"◆","")</f>
        <v/>
      </c>
      <c r="AC12" s="11" t="str">
        <f aca="false">IF(AND($B12="Milestone",$C12&lt;=AC$5+6,$D12&gt;=AC$5),"◆","")</f>
        <v/>
      </c>
      <c r="AD12" s="11" t="str">
        <f aca="false">IF(AND($B12="Milestone",$C12&lt;=AD$5+6,$D12&gt;=AD$5),"◆","")</f>
        <v/>
      </c>
      <c r="AE12" s="11" t="str">
        <f aca="false">IF(AND($B12="Milestone",$C12&lt;=AE$5+6,$D12&gt;=AE$5),"◆","")</f>
        <v/>
      </c>
      <c r="AF12" s="11" t="str">
        <f aca="false">IF(AND($B12="Milestone",$C12&lt;=AF$5+6,$D12&gt;=AF$5),"◆","")</f>
        <v/>
      </c>
      <c r="AG12" s="11" t="str">
        <f aca="false">IF(AND($B12="Milestone",$C12&lt;=AG$5+6,$D12&gt;=AG$5),"◆","")</f>
        <v/>
      </c>
      <c r="AH12" s="11" t="str">
        <f aca="false">IF(AND($B12="Milestone",$C12&lt;=AH$5+6,$D12&gt;=AH$5),"◆","")</f>
        <v>◆</v>
      </c>
    </row>
    <row r="13" customFormat="false" ht="15" hidden="false" customHeight="false" outlineLevel="0" collapsed="false">
      <c r="A13" s="9" t="s">
        <v>29</v>
      </c>
      <c r="B13" s="9" t="s">
        <v>3</v>
      </c>
      <c r="C13" s="10" t="n">
        <v>46349</v>
      </c>
      <c r="D13" s="10" t="n">
        <v>46362</v>
      </c>
      <c r="E13" s="9" t="s">
        <v>14</v>
      </c>
      <c r="F13" s="9" t="s">
        <v>30</v>
      </c>
      <c r="G13" s="9" t="s">
        <v>31</v>
      </c>
      <c r="H13" s="11" t="str">
        <f aca="false">IF(AND($B13="Milestone",$C13&lt;=H$5+6,$D13&gt;=H$5),"◆","")</f>
        <v/>
      </c>
      <c r="I13" s="11" t="str">
        <f aca="false">IF(AND($B13="Milestone",$C13&lt;=I$5+6,$D13&gt;=I$5),"◆","")</f>
        <v/>
      </c>
      <c r="J13" s="11" t="str">
        <f aca="false">IF(AND($B13="Milestone",$C13&lt;=J$5+6,$D13&gt;=J$5),"◆","")</f>
        <v/>
      </c>
      <c r="K13" s="11" t="str">
        <f aca="false">IF(AND($B13="Milestone",$C13&lt;=K$5+6,$D13&gt;=K$5),"◆","")</f>
        <v/>
      </c>
      <c r="L13" s="11" t="str">
        <f aca="false">IF(AND($B13="Milestone",$C13&lt;=L$5+6,$D13&gt;=L$5),"◆","")</f>
        <v/>
      </c>
      <c r="M13" s="11" t="str">
        <f aca="false">IF(AND($B13="Milestone",$C13&lt;=M$5+6,$D13&gt;=M$5),"◆","")</f>
        <v/>
      </c>
      <c r="N13" s="11" t="str">
        <f aca="false">IF(AND($B13="Milestone",$C13&lt;=N$5+6,$D13&gt;=N$5),"◆","")</f>
        <v/>
      </c>
      <c r="O13" s="11" t="str">
        <f aca="false">IF(AND($B13="Milestone",$C13&lt;=O$5+6,$D13&gt;=O$5),"◆","")</f>
        <v/>
      </c>
      <c r="P13" s="11" t="str">
        <f aca="false">IF(AND($B13="Milestone",$C13&lt;=P$5+6,$D13&gt;=P$5),"◆","")</f>
        <v/>
      </c>
      <c r="Q13" s="11" t="str">
        <f aca="false">IF(AND($B13="Milestone",$C13&lt;=Q$5+6,$D13&gt;=Q$5),"◆","")</f>
        <v/>
      </c>
      <c r="R13" s="11" t="str">
        <f aca="false">IF(AND($B13="Milestone",$C13&lt;=R$5+6,$D13&gt;=R$5),"◆","")</f>
        <v/>
      </c>
      <c r="S13" s="11" t="str">
        <f aca="false">IF(AND($B13="Milestone",$C13&lt;=S$5+6,$D13&gt;=S$5),"◆","")</f>
        <v/>
      </c>
      <c r="T13" s="11" t="str">
        <f aca="false">IF(AND($B13="Milestone",$C13&lt;=T$5+6,$D13&gt;=T$5),"◆","")</f>
        <v/>
      </c>
      <c r="U13" s="11" t="str">
        <f aca="false">IF(AND($B13="Milestone",$C13&lt;=U$5+6,$D13&gt;=U$5),"◆","")</f>
        <v/>
      </c>
      <c r="V13" s="11" t="str">
        <f aca="false">IF(AND($B13="Milestone",$C13&lt;=V$5+6,$D13&gt;=V$5),"◆","")</f>
        <v/>
      </c>
      <c r="W13" s="11" t="str">
        <f aca="false">IF(AND($B13="Milestone",$C13&lt;=W$5+6,$D13&gt;=W$5),"◆","")</f>
        <v/>
      </c>
      <c r="X13" s="11" t="str">
        <f aca="false">IF(AND($B13="Milestone",$C13&lt;=X$5+6,$D13&gt;=X$5),"◆","")</f>
        <v/>
      </c>
      <c r="Y13" s="11" t="str">
        <f aca="false">IF(AND($B13="Milestone",$C13&lt;=Y$5+6,$D13&gt;=Y$5),"◆","")</f>
        <v/>
      </c>
      <c r="Z13" s="11" t="str">
        <f aca="false">IF(AND($B13="Milestone",$C13&lt;=Z$5+6,$D13&gt;=Z$5),"◆","")</f>
        <v/>
      </c>
      <c r="AA13" s="11" t="str">
        <f aca="false">IF(AND($B13="Milestone",$C13&lt;=AA$5+6,$D13&gt;=AA$5),"◆","")</f>
        <v/>
      </c>
      <c r="AB13" s="11" t="str">
        <f aca="false">IF(AND($B13="Milestone",$C13&lt;=AB$5+6,$D13&gt;=AB$5),"◆","")</f>
        <v/>
      </c>
      <c r="AC13" s="11" t="str">
        <f aca="false">IF(AND($B13="Milestone",$C13&lt;=AC$5+6,$D13&gt;=AC$5),"◆","")</f>
        <v/>
      </c>
      <c r="AD13" s="11" t="str">
        <f aca="false">IF(AND($B13="Milestone",$C13&lt;=AD$5+6,$D13&gt;=AD$5),"◆","")</f>
        <v/>
      </c>
      <c r="AE13" s="11" t="str">
        <f aca="false">IF(AND($B13="Milestone",$C13&lt;=AE$5+6,$D13&gt;=AE$5),"◆","")</f>
        <v/>
      </c>
      <c r="AF13" s="11" t="str">
        <f aca="false">IF(AND($B13="Milestone",$C13&lt;=AF$5+6,$D13&gt;=AF$5),"◆","")</f>
        <v/>
      </c>
      <c r="AG13" s="11" t="str">
        <f aca="false">IF(AND($B13="Milestone",$C13&lt;=AG$5+6,$D13&gt;=AG$5),"◆","")</f>
        <v/>
      </c>
      <c r="AH13" s="11" t="str">
        <f aca="false">IF(AND($B13="Milestone",$C13&lt;=AH$5+6,$D13&gt;=AH$5),"◆","")</f>
        <v/>
      </c>
    </row>
    <row r="14" customFormat="false" ht="15" hidden="false" customHeight="false" outlineLevel="0" collapsed="false">
      <c r="A14" s="9" t="s">
        <v>32</v>
      </c>
      <c r="B14" s="9" t="s">
        <v>3</v>
      </c>
      <c r="C14" s="10" t="n">
        <v>46405</v>
      </c>
      <c r="D14" s="10" t="n">
        <v>46418</v>
      </c>
      <c r="E14" s="9" t="s">
        <v>14</v>
      </c>
      <c r="F14" s="9" t="s">
        <v>33</v>
      </c>
      <c r="G14" s="9" t="s">
        <v>34</v>
      </c>
      <c r="H14" s="11" t="str">
        <f aca="false">IF(AND($B14="Milestone",$C14&lt;=H$5+6,$D14&gt;=H$5),"◆","")</f>
        <v/>
      </c>
      <c r="I14" s="11" t="str">
        <f aca="false">IF(AND($B14="Milestone",$C14&lt;=I$5+6,$D14&gt;=I$5),"◆","")</f>
        <v/>
      </c>
      <c r="J14" s="11" t="str">
        <f aca="false">IF(AND($B14="Milestone",$C14&lt;=J$5+6,$D14&gt;=J$5),"◆","")</f>
        <v/>
      </c>
      <c r="K14" s="11" t="str">
        <f aca="false">IF(AND($B14="Milestone",$C14&lt;=K$5+6,$D14&gt;=K$5),"◆","")</f>
        <v/>
      </c>
      <c r="L14" s="11" t="str">
        <f aca="false">IF(AND($B14="Milestone",$C14&lt;=L$5+6,$D14&gt;=L$5),"◆","")</f>
        <v/>
      </c>
      <c r="M14" s="11" t="str">
        <f aca="false">IF(AND($B14="Milestone",$C14&lt;=M$5+6,$D14&gt;=M$5),"◆","")</f>
        <v/>
      </c>
      <c r="N14" s="11" t="str">
        <f aca="false">IF(AND($B14="Milestone",$C14&lt;=N$5+6,$D14&gt;=N$5),"◆","")</f>
        <v/>
      </c>
      <c r="O14" s="11" t="str">
        <f aca="false">IF(AND($B14="Milestone",$C14&lt;=O$5+6,$D14&gt;=O$5),"◆","")</f>
        <v/>
      </c>
      <c r="P14" s="11" t="str">
        <f aca="false">IF(AND($B14="Milestone",$C14&lt;=P$5+6,$D14&gt;=P$5),"◆","")</f>
        <v/>
      </c>
      <c r="Q14" s="11" t="str">
        <f aca="false">IF(AND($B14="Milestone",$C14&lt;=Q$5+6,$D14&gt;=Q$5),"◆","")</f>
        <v/>
      </c>
      <c r="R14" s="11" t="str">
        <f aca="false">IF(AND($B14="Milestone",$C14&lt;=R$5+6,$D14&gt;=R$5),"◆","")</f>
        <v/>
      </c>
      <c r="S14" s="11" t="str">
        <f aca="false">IF(AND($B14="Milestone",$C14&lt;=S$5+6,$D14&gt;=S$5),"◆","")</f>
        <v/>
      </c>
      <c r="T14" s="11" t="str">
        <f aca="false">IF(AND($B14="Milestone",$C14&lt;=T$5+6,$D14&gt;=T$5),"◆","")</f>
        <v/>
      </c>
      <c r="U14" s="11" t="str">
        <f aca="false">IF(AND($B14="Milestone",$C14&lt;=U$5+6,$D14&gt;=U$5),"◆","")</f>
        <v/>
      </c>
      <c r="V14" s="11" t="str">
        <f aca="false">IF(AND($B14="Milestone",$C14&lt;=V$5+6,$D14&gt;=V$5),"◆","")</f>
        <v/>
      </c>
      <c r="W14" s="11" t="str">
        <f aca="false">IF(AND($B14="Milestone",$C14&lt;=W$5+6,$D14&gt;=W$5),"◆","")</f>
        <v/>
      </c>
      <c r="X14" s="11" t="str">
        <f aca="false">IF(AND($B14="Milestone",$C14&lt;=X$5+6,$D14&gt;=X$5),"◆","")</f>
        <v/>
      </c>
      <c r="Y14" s="11" t="str">
        <f aca="false">IF(AND($B14="Milestone",$C14&lt;=Y$5+6,$D14&gt;=Y$5),"◆","")</f>
        <v/>
      </c>
      <c r="Z14" s="11" t="str">
        <f aca="false">IF(AND($B14="Milestone",$C14&lt;=Z$5+6,$D14&gt;=Z$5),"◆","")</f>
        <v/>
      </c>
      <c r="AA14" s="11" t="str">
        <f aca="false">IF(AND($B14="Milestone",$C14&lt;=AA$5+6,$D14&gt;=AA$5),"◆","")</f>
        <v/>
      </c>
      <c r="AB14" s="11" t="str">
        <f aca="false">IF(AND($B14="Milestone",$C14&lt;=AB$5+6,$D14&gt;=AB$5),"◆","")</f>
        <v/>
      </c>
      <c r="AC14" s="11" t="str">
        <f aca="false">IF(AND($B14="Milestone",$C14&lt;=AC$5+6,$D14&gt;=AC$5),"◆","")</f>
        <v/>
      </c>
      <c r="AD14" s="11" t="str">
        <f aca="false">IF(AND($B14="Milestone",$C14&lt;=AD$5+6,$D14&gt;=AD$5),"◆","")</f>
        <v/>
      </c>
      <c r="AE14" s="11" t="str">
        <f aca="false">IF(AND($B14="Milestone",$C14&lt;=AE$5+6,$D14&gt;=AE$5),"◆","")</f>
        <v/>
      </c>
      <c r="AF14" s="11" t="str">
        <f aca="false">IF(AND($B14="Milestone",$C14&lt;=AF$5+6,$D14&gt;=AF$5),"◆","")</f>
        <v/>
      </c>
      <c r="AG14" s="11" t="str">
        <f aca="false">IF(AND($B14="Milestone",$C14&lt;=AG$5+6,$D14&gt;=AG$5),"◆","")</f>
        <v/>
      </c>
      <c r="AH14" s="11" t="str">
        <f aca="false">IF(AND($B14="Milestone",$C14&lt;=AH$5+6,$D14&gt;=AH$5),"◆","")</f>
        <v/>
      </c>
    </row>
    <row r="15" customFormat="false" ht="15" hidden="false" customHeight="false" outlineLevel="0" collapsed="false">
      <c r="A15" s="9" t="s">
        <v>35</v>
      </c>
      <c r="B15" s="9" t="s">
        <v>3</v>
      </c>
      <c r="C15" s="10" t="n">
        <v>46447</v>
      </c>
      <c r="D15" s="10" t="n">
        <v>46467</v>
      </c>
      <c r="E15" s="9" t="s">
        <v>14</v>
      </c>
      <c r="F15" s="9" t="s">
        <v>36</v>
      </c>
      <c r="G15" s="9" t="s">
        <v>37</v>
      </c>
      <c r="H15" s="11" t="str">
        <f aca="false">IF(AND($B15="Milestone",$C15&lt;=H$5+6,$D15&gt;=H$5),"◆","")</f>
        <v/>
      </c>
      <c r="I15" s="11" t="str">
        <f aca="false">IF(AND($B15="Milestone",$C15&lt;=I$5+6,$D15&gt;=I$5),"◆","")</f>
        <v/>
      </c>
      <c r="J15" s="11" t="str">
        <f aca="false">IF(AND($B15="Milestone",$C15&lt;=J$5+6,$D15&gt;=J$5),"◆","")</f>
        <v/>
      </c>
      <c r="K15" s="11" t="str">
        <f aca="false">IF(AND($B15="Milestone",$C15&lt;=K$5+6,$D15&gt;=K$5),"◆","")</f>
        <v/>
      </c>
      <c r="L15" s="11" t="str">
        <f aca="false">IF(AND($B15="Milestone",$C15&lt;=L$5+6,$D15&gt;=L$5),"◆","")</f>
        <v/>
      </c>
      <c r="M15" s="11" t="str">
        <f aca="false">IF(AND($B15="Milestone",$C15&lt;=M$5+6,$D15&gt;=M$5),"◆","")</f>
        <v/>
      </c>
      <c r="N15" s="11" t="str">
        <f aca="false">IF(AND($B15="Milestone",$C15&lt;=N$5+6,$D15&gt;=N$5),"◆","")</f>
        <v/>
      </c>
      <c r="O15" s="11" t="str">
        <f aca="false">IF(AND($B15="Milestone",$C15&lt;=O$5+6,$D15&gt;=O$5),"◆","")</f>
        <v/>
      </c>
      <c r="P15" s="11" t="str">
        <f aca="false">IF(AND($B15="Milestone",$C15&lt;=P$5+6,$D15&gt;=P$5),"◆","")</f>
        <v/>
      </c>
      <c r="Q15" s="11" t="str">
        <f aca="false">IF(AND($B15="Milestone",$C15&lt;=Q$5+6,$D15&gt;=Q$5),"◆","")</f>
        <v/>
      </c>
      <c r="R15" s="11" t="str">
        <f aca="false">IF(AND($B15="Milestone",$C15&lt;=R$5+6,$D15&gt;=R$5),"◆","")</f>
        <v/>
      </c>
      <c r="S15" s="11" t="str">
        <f aca="false">IF(AND($B15="Milestone",$C15&lt;=S$5+6,$D15&gt;=S$5),"◆","")</f>
        <v/>
      </c>
      <c r="T15" s="11" t="str">
        <f aca="false">IF(AND($B15="Milestone",$C15&lt;=T$5+6,$D15&gt;=T$5),"◆","")</f>
        <v/>
      </c>
      <c r="U15" s="11" t="str">
        <f aca="false">IF(AND($B15="Milestone",$C15&lt;=U$5+6,$D15&gt;=U$5),"◆","")</f>
        <v/>
      </c>
      <c r="V15" s="11" t="str">
        <f aca="false">IF(AND($B15="Milestone",$C15&lt;=V$5+6,$D15&gt;=V$5),"◆","")</f>
        <v/>
      </c>
      <c r="W15" s="11" t="str">
        <f aca="false">IF(AND($B15="Milestone",$C15&lt;=W$5+6,$D15&gt;=W$5),"◆","")</f>
        <v/>
      </c>
      <c r="X15" s="11" t="str">
        <f aca="false">IF(AND($B15="Milestone",$C15&lt;=X$5+6,$D15&gt;=X$5),"◆","")</f>
        <v/>
      </c>
      <c r="Y15" s="11" t="str">
        <f aca="false">IF(AND($B15="Milestone",$C15&lt;=Y$5+6,$D15&gt;=Y$5),"◆","")</f>
        <v/>
      </c>
      <c r="Z15" s="11" t="str">
        <f aca="false">IF(AND($B15="Milestone",$C15&lt;=Z$5+6,$D15&gt;=Z$5),"◆","")</f>
        <v/>
      </c>
      <c r="AA15" s="11" t="str">
        <f aca="false">IF(AND($B15="Milestone",$C15&lt;=AA$5+6,$D15&gt;=AA$5),"◆","")</f>
        <v/>
      </c>
      <c r="AB15" s="11" t="str">
        <f aca="false">IF(AND($B15="Milestone",$C15&lt;=AB$5+6,$D15&gt;=AB$5),"◆","")</f>
        <v/>
      </c>
      <c r="AC15" s="11" t="str">
        <f aca="false">IF(AND($B15="Milestone",$C15&lt;=AC$5+6,$D15&gt;=AC$5),"◆","")</f>
        <v/>
      </c>
      <c r="AD15" s="11" t="str">
        <f aca="false">IF(AND($B15="Milestone",$C15&lt;=AD$5+6,$D15&gt;=AD$5),"◆","")</f>
        <v/>
      </c>
      <c r="AE15" s="11" t="str">
        <f aca="false">IF(AND($B15="Milestone",$C15&lt;=AE$5+6,$D15&gt;=AE$5),"◆","")</f>
        <v/>
      </c>
      <c r="AF15" s="11" t="str">
        <f aca="false">IF(AND($B15="Milestone",$C15&lt;=AF$5+6,$D15&gt;=AF$5),"◆","")</f>
        <v/>
      </c>
      <c r="AG15" s="11" t="str">
        <f aca="false">IF(AND($B15="Milestone",$C15&lt;=AG$5+6,$D15&gt;=AG$5),"◆","")</f>
        <v/>
      </c>
      <c r="AH15" s="11" t="str">
        <f aca="false">IF(AND($B15="Milestone",$C15&lt;=AH$5+6,$D15&gt;=AH$5),"◆","")</f>
        <v/>
      </c>
    </row>
    <row r="16" customFormat="false" ht="15" hidden="false" customHeight="false" outlineLevel="0" collapsed="false">
      <c r="A16" s="9" t="s">
        <v>38</v>
      </c>
      <c r="B16" s="9" t="s">
        <v>3</v>
      </c>
      <c r="C16" s="10" t="n">
        <v>46468</v>
      </c>
      <c r="D16" s="10" t="n">
        <v>46488</v>
      </c>
      <c r="E16" s="9" t="s">
        <v>14</v>
      </c>
      <c r="F16" s="9" t="s">
        <v>24</v>
      </c>
      <c r="G16" s="9" t="s">
        <v>34</v>
      </c>
      <c r="H16" s="11" t="str">
        <f aca="false">IF(AND($B16="Milestone",$C16&lt;=H$5+6,$D16&gt;=H$5),"◆","")</f>
        <v/>
      </c>
      <c r="I16" s="11" t="str">
        <f aca="false">IF(AND($B16="Milestone",$C16&lt;=I$5+6,$D16&gt;=I$5),"◆","")</f>
        <v/>
      </c>
      <c r="J16" s="11" t="str">
        <f aca="false">IF(AND($B16="Milestone",$C16&lt;=J$5+6,$D16&gt;=J$5),"◆","")</f>
        <v/>
      </c>
      <c r="K16" s="11" t="str">
        <f aca="false">IF(AND($B16="Milestone",$C16&lt;=K$5+6,$D16&gt;=K$5),"◆","")</f>
        <v/>
      </c>
      <c r="L16" s="11" t="str">
        <f aca="false">IF(AND($B16="Milestone",$C16&lt;=L$5+6,$D16&gt;=L$5),"◆","")</f>
        <v/>
      </c>
      <c r="M16" s="11" t="str">
        <f aca="false">IF(AND($B16="Milestone",$C16&lt;=M$5+6,$D16&gt;=M$5),"◆","")</f>
        <v/>
      </c>
      <c r="N16" s="11" t="str">
        <f aca="false">IF(AND($B16="Milestone",$C16&lt;=N$5+6,$D16&gt;=N$5),"◆","")</f>
        <v/>
      </c>
      <c r="O16" s="11" t="str">
        <f aca="false">IF(AND($B16="Milestone",$C16&lt;=O$5+6,$D16&gt;=O$5),"◆","")</f>
        <v/>
      </c>
      <c r="P16" s="11" t="str">
        <f aca="false">IF(AND($B16="Milestone",$C16&lt;=P$5+6,$D16&gt;=P$5),"◆","")</f>
        <v/>
      </c>
      <c r="Q16" s="11" t="str">
        <f aca="false">IF(AND($B16="Milestone",$C16&lt;=Q$5+6,$D16&gt;=Q$5),"◆","")</f>
        <v/>
      </c>
      <c r="R16" s="11" t="str">
        <f aca="false">IF(AND($B16="Milestone",$C16&lt;=R$5+6,$D16&gt;=R$5),"◆","")</f>
        <v/>
      </c>
      <c r="S16" s="11" t="str">
        <f aca="false">IF(AND($B16="Milestone",$C16&lt;=S$5+6,$D16&gt;=S$5),"◆","")</f>
        <v/>
      </c>
      <c r="T16" s="11" t="str">
        <f aca="false">IF(AND($B16="Milestone",$C16&lt;=T$5+6,$D16&gt;=T$5),"◆","")</f>
        <v/>
      </c>
      <c r="U16" s="11" t="str">
        <f aca="false">IF(AND($B16="Milestone",$C16&lt;=U$5+6,$D16&gt;=U$5),"◆","")</f>
        <v/>
      </c>
      <c r="V16" s="11" t="str">
        <f aca="false">IF(AND($B16="Milestone",$C16&lt;=V$5+6,$D16&gt;=V$5),"◆","")</f>
        <v/>
      </c>
      <c r="W16" s="11" t="str">
        <f aca="false">IF(AND($B16="Milestone",$C16&lt;=W$5+6,$D16&gt;=W$5),"◆","")</f>
        <v/>
      </c>
      <c r="X16" s="11" t="str">
        <f aca="false">IF(AND($B16="Milestone",$C16&lt;=X$5+6,$D16&gt;=X$5),"◆","")</f>
        <v/>
      </c>
      <c r="Y16" s="11" t="str">
        <f aca="false">IF(AND($B16="Milestone",$C16&lt;=Y$5+6,$D16&gt;=Y$5),"◆","")</f>
        <v/>
      </c>
      <c r="Z16" s="11" t="str">
        <f aca="false">IF(AND($B16="Milestone",$C16&lt;=Z$5+6,$D16&gt;=Z$5),"◆","")</f>
        <v/>
      </c>
      <c r="AA16" s="11" t="str">
        <f aca="false">IF(AND($B16="Milestone",$C16&lt;=AA$5+6,$D16&gt;=AA$5),"◆","")</f>
        <v/>
      </c>
      <c r="AB16" s="11" t="str">
        <f aca="false">IF(AND($B16="Milestone",$C16&lt;=AB$5+6,$D16&gt;=AB$5),"◆","")</f>
        <v/>
      </c>
      <c r="AC16" s="11" t="str">
        <f aca="false">IF(AND($B16="Milestone",$C16&lt;=AC$5+6,$D16&gt;=AC$5),"◆","")</f>
        <v/>
      </c>
      <c r="AD16" s="11" t="str">
        <f aca="false">IF(AND($B16="Milestone",$C16&lt;=AD$5+6,$D16&gt;=AD$5),"◆","")</f>
        <v/>
      </c>
      <c r="AE16" s="11" t="str">
        <f aca="false">IF(AND($B16="Milestone",$C16&lt;=AE$5+6,$D16&gt;=AE$5),"◆","")</f>
        <v/>
      </c>
      <c r="AF16" s="11" t="str">
        <f aca="false">IF(AND($B16="Milestone",$C16&lt;=AF$5+6,$D16&gt;=AF$5),"◆","")</f>
        <v/>
      </c>
      <c r="AG16" s="11" t="str">
        <f aca="false">IF(AND($B16="Milestone",$C16&lt;=AG$5+6,$D16&gt;=AG$5),"◆","")</f>
        <v/>
      </c>
      <c r="AH16" s="11" t="str">
        <f aca="false">IF(AND($B16="Milestone",$C16&lt;=AH$5+6,$D16&gt;=AH$5),"◆","")</f>
        <v/>
      </c>
    </row>
    <row r="17" customFormat="false" ht="15" hidden="false" customHeight="false" outlineLevel="0" collapsed="false">
      <c r="A17" s="8" t="s">
        <v>39</v>
      </c>
      <c r="B17" s="8" t="s">
        <v>11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customFormat="false" ht="22.35" hidden="false" customHeight="false" outlineLevel="0" collapsed="false">
      <c r="A18" s="9" t="s">
        <v>40</v>
      </c>
      <c r="B18" s="9" t="s">
        <v>3</v>
      </c>
      <c r="C18" s="10" t="n">
        <v>46303</v>
      </c>
      <c r="D18" s="10" t="n">
        <v>46326</v>
      </c>
      <c r="E18" s="9" t="s">
        <v>14</v>
      </c>
      <c r="F18" s="9" t="s">
        <v>15</v>
      </c>
      <c r="G18" s="9" t="s">
        <v>41</v>
      </c>
      <c r="H18" s="11" t="str">
        <f aca="false">IF(AND($B18="Milestone",$C18&lt;=H$5+6,$D18&gt;=H$5),"◆","")</f>
        <v/>
      </c>
      <c r="I18" s="11" t="str">
        <f aca="false">IF(AND($B18="Milestone",$C18&lt;=I$5+6,$D18&gt;=I$5),"◆","")</f>
        <v/>
      </c>
      <c r="J18" s="11" t="str">
        <f aca="false">IF(AND($B18="Milestone",$C18&lt;=J$5+6,$D18&gt;=J$5),"◆","")</f>
        <v/>
      </c>
      <c r="K18" s="11" t="str">
        <f aca="false">IF(AND($B18="Milestone",$C18&lt;=K$5+6,$D18&gt;=K$5),"◆","")</f>
        <v/>
      </c>
      <c r="L18" s="11" t="str">
        <f aca="false">IF(AND($B18="Milestone",$C18&lt;=L$5+6,$D18&gt;=L$5),"◆","")</f>
        <v/>
      </c>
      <c r="M18" s="11" t="str">
        <f aca="false">IF(AND($B18="Milestone",$C18&lt;=M$5+6,$D18&gt;=M$5),"◆","")</f>
        <v/>
      </c>
      <c r="N18" s="11" t="str">
        <f aca="false">IF(AND($B18="Milestone",$C18&lt;=N$5+6,$D18&gt;=N$5),"◆","")</f>
        <v/>
      </c>
      <c r="O18" s="11" t="str">
        <f aca="false">IF(AND($B18="Milestone",$C18&lt;=O$5+6,$D18&gt;=O$5),"◆","")</f>
        <v/>
      </c>
      <c r="P18" s="11" t="str">
        <f aca="false">IF(AND($B18="Milestone",$C18&lt;=P$5+6,$D18&gt;=P$5),"◆","")</f>
        <v/>
      </c>
      <c r="Q18" s="11" t="str">
        <f aca="false">IF(AND($B18="Milestone",$C18&lt;=Q$5+6,$D18&gt;=Q$5),"◆","")</f>
        <v/>
      </c>
      <c r="R18" s="11" t="str">
        <f aca="false">IF(AND($B18="Milestone",$C18&lt;=R$5+6,$D18&gt;=R$5),"◆","")</f>
        <v/>
      </c>
      <c r="S18" s="11" t="str">
        <f aca="false">IF(AND($B18="Milestone",$C18&lt;=S$5+6,$D18&gt;=S$5),"◆","")</f>
        <v/>
      </c>
      <c r="T18" s="11" t="str">
        <f aca="false">IF(AND($B18="Milestone",$C18&lt;=T$5+6,$D18&gt;=T$5),"◆","")</f>
        <v/>
      </c>
      <c r="U18" s="11" t="str">
        <f aca="false">IF(AND($B18="Milestone",$C18&lt;=U$5+6,$D18&gt;=U$5),"◆","")</f>
        <v/>
      </c>
      <c r="V18" s="11" t="str">
        <f aca="false">IF(AND($B18="Milestone",$C18&lt;=V$5+6,$D18&gt;=V$5),"◆","")</f>
        <v/>
      </c>
      <c r="W18" s="11" t="str">
        <f aca="false">IF(AND($B18="Milestone",$C18&lt;=W$5+6,$D18&gt;=W$5),"◆","")</f>
        <v/>
      </c>
      <c r="X18" s="11" t="str">
        <f aca="false">IF(AND($B18="Milestone",$C18&lt;=X$5+6,$D18&gt;=X$5),"◆","")</f>
        <v/>
      </c>
      <c r="Y18" s="11" t="str">
        <f aca="false">IF(AND($B18="Milestone",$C18&lt;=Y$5+6,$D18&gt;=Y$5),"◆","")</f>
        <v/>
      </c>
      <c r="Z18" s="11" t="str">
        <f aca="false">IF(AND($B18="Milestone",$C18&lt;=Z$5+6,$D18&gt;=Z$5),"◆","")</f>
        <v/>
      </c>
      <c r="AA18" s="11" t="str">
        <f aca="false">IF(AND($B18="Milestone",$C18&lt;=AA$5+6,$D18&gt;=AA$5),"◆","")</f>
        <v/>
      </c>
      <c r="AB18" s="11" t="str">
        <f aca="false">IF(AND($B18="Milestone",$C18&lt;=AB$5+6,$D18&gt;=AB$5),"◆","")</f>
        <v/>
      </c>
      <c r="AC18" s="11" t="str">
        <f aca="false">IF(AND($B18="Milestone",$C18&lt;=AC$5+6,$D18&gt;=AC$5),"◆","")</f>
        <v/>
      </c>
      <c r="AD18" s="11" t="str">
        <f aca="false">IF(AND($B18="Milestone",$C18&lt;=AD$5+6,$D18&gt;=AD$5),"◆","")</f>
        <v/>
      </c>
      <c r="AE18" s="11" t="str">
        <f aca="false">IF(AND($B18="Milestone",$C18&lt;=AE$5+6,$D18&gt;=AE$5),"◆","")</f>
        <v/>
      </c>
      <c r="AF18" s="11" t="str">
        <f aca="false">IF(AND($B18="Milestone",$C18&lt;=AF$5+6,$D18&gt;=AF$5),"◆","")</f>
        <v/>
      </c>
      <c r="AG18" s="11" t="str">
        <f aca="false">IF(AND($B18="Milestone",$C18&lt;=AG$5+6,$D18&gt;=AG$5),"◆","")</f>
        <v/>
      </c>
      <c r="AH18" s="11" t="str">
        <f aca="false">IF(AND($B18="Milestone",$C18&lt;=AH$5+6,$D18&gt;=AH$5),"◆","")</f>
        <v/>
      </c>
    </row>
    <row r="19" customFormat="false" ht="15" hidden="false" customHeight="false" outlineLevel="0" collapsed="false">
      <c r="A19" s="9" t="s">
        <v>42</v>
      </c>
      <c r="B19" s="9" t="s">
        <v>3</v>
      </c>
      <c r="C19" s="10" t="n">
        <v>46307</v>
      </c>
      <c r="D19" s="10" t="n">
        <v>46334</v>
      </c>
      <c r="E19" s="9" t="s">
        <v>14</v>
      </c>
      <c r="F19" s="9" t="s">
        <v>43</v>
      </c>
      <c r="G19" s="9" t="s">
        <v>44</v>
      </c>
      <c r="H19" s="11" t="str">
        <f aca="false">IF(AND($B19="Milestone",$C19&lt;=H$5+6,$D19&gt;=H$5),"◆","")</f>
        <v/>
      </c>
      <c r="I19" s="11" t="str">
        <f aca="false">IF(AND($B19="Milestone",$C19&lt;=I$5+6,$D19&gt;=I$5),"◆","")</f>
        <v/>
      </c>
      <c r="J19" s="11" t="str">
        <f aca="false">IF(AND($B19="Milestone",$C19&lt;=J$5+6,$D19&gt;=J$5),"◆","")</f>
        <v/>
      </c>
      <c r="K19" s="11" t="str">
        <f aca="false">IF(AND($B19="Milestone",$C19&lt;=K$5+6,$D19&gt;=K$5),"◆","")</f>
        <v/>
      </c>
      <c r="L19" s="11" t="str">
        <f aca="false">IF(AND($B19="Milestone",$C19&lt;=L$5+6,$D19&gt;=L$5),"◆","")</f>
        <v/>
      </c>
      <c r="M19" s="11" t="str">
        <f aca="false">IF(AND($B19="Milestone",$C19&lt;=M$5+6,$D19&gt;=M$5),"◆","")</f>
        <v/>
      </c>
      <c r="N19" s="11" t="str">
        <f aca="false">IF(AND($B19="Milestone",$C19&lt;=N$5+6,$D19&gt;=N$5),"◆","")</f>
        <v/>
      </c>
      <c r="O19" s="11" t="str">
        <f aca="false">IF(AND($B19="Milestone",$C19&lt;=O$5+6,$D19&gt;=O$5),"◆","")</f>
        <v/>
      </c>
      <c r="P19" s="11" t="str">
        <f aca="false">IF(AND($B19="Milestone",$C19&lt;=P$5+6,$D19&gt;=P$5),"◆","")</f>
        <v/>
      </c>
      <c r="Q19" s="11" t="str">
        <f aca="false">IF(AND($B19="Milestone",$C19&lt;=Q$5+6,$D19&gt;=Q$5),"◆","")</f>
        <v/>
      </c>
      <c r="R19" s="11" t="str">
        <f aca="false">IF(AND($B19="Milestone",$C19&lt;=R$5+6,$D19&gt;=R$5),"◆","")</f>
        <v/>
      </c>
      <c r="S19" s="11" t="str">
        <f aca="false">IF(AND($B19="Milestone",$C19&lt;=S$5+6,$D19&gt;=S$5),"◆","")</f>
        <v/>
      </c>
      <c r="T19" s="11" t="str">
        <f aca="false">IF(AND($B19="Milestone",$C19&lt;=T$5+6,$D19&gt;=T$5),"◆","")</f>
        <v/>
      </c>
      <c r="U19" s="11" t="str">
        <f aca="false">IF(AND($B19="Milestone",$C19&lt;=U$5+6,$D19&gt;=U$5),"◆","")</f>
        <v/>
      </c>
      <c r="V19" s="11" t="str">
        <f aca="false">IF(AND($B19="Milestone",$C19&lt;=V$5+6,$D19&gt;=V$5),"◆","")</f>
        <v/>
      </c>
      <c r="W19" s="11" t="str">
        <f aca="false">IF(AND($B19="Milestone",$C19&lt;=W$5+6,$D19&gt;=W$5),"◆","")</f>
        <v/>
      </c>
      <c r="X19" s="11" t="str">
        <f aca="false">IF(AND($B19="Milestone",$C19&lt;=X$5+6,$D19&gt;=X$5),"◆","")</f>
        <v/>
      </c>
      <c r="Y19" s="11" t="str">
        <f aca="false">IF(AND($B19="Milestone",$C19&lt;=Y$5+6,$D19&gt;=Y$5),"◆","")</f>
        <v/>
      </c>
      <c r="Z19" s="11" t="str">
        <f aca="false">IF(AND($B19="Milestone",$C19&lt;=Z$5+6,$D19&gt;=Z$5),"◆","")</f>
        <v/>
      </c>
      <c r="AA19" s="11" t="str">
        <f aca="false">IF(AND($B19="Milestone",$C19&lt;=AA$5+6,$D19&gt;=AA$5),"◆","")</f>
        <v/>
      </c>
      <c r="AB19" s="11" t="str">
        <f aca="false">IF(AND($B19="Milestone",$C19&lt;=AB$5+6,$D19&gt;=AB$5),"◆","")</f>
        <v/>
      </c>
      <c r="AC19" s="11" t="str">
        <f aca="false">IF(AND($B19="Milestone",$C19&lt;=AC$5+6,$D19&gt;=AC$5),"◆","")</f>
        <v/>
      </c>
      <c r="AD19" s="11" t="str">
        <f aca="false">IF(AND($B19="Milestone",$C19&lt;=AD$5+6,$D19&gt;=AD$5),"◆","")</f>
        <v/>
      </c>
      <c r="AE19" s="11" t="str">
        <f aca="false">IF(AND($B19="Milestone",$C19&lt;=AE$5+6,$D19&gt;=AE$5),"◆","")</f>
        <v/>
      </c>
      <c r="AF19" s="11" t="str">
        <f aca="false">IF(AND($B19="Milestone",$C19&lt;=AF$5+6,$D19&gt;=AF$5),"◆","")</f>
        <v/>
      </c>
      <c r="AG19" s="11" t="str">
        <f aca="false">IF(AND($B19="Milestone",$C19&lt;=AG$5+6,$D19&gt;=AG$5),"◆","")</f>
        <v/>
      </c>
      <c r="AH19" s="11" t="str">
        <f aca="false">IF(AND($B19="Milestone",$C19&lt;=AH$5+6,$D19&gt;=AH$5),"◆","")</f>
        <v/>
      </c>
    </row>
    <row r="20" customFormat="false" ht="15" hidden="false" customHeight="false" outlineLevel="0" collapsed="false">
      <c r="A20" s="9" t="s">
        <v>45</v>
      </c>
      <c r="B20" s="9" t="s">
        <v>3</v>
      </c>
      <c r="C20" s="10" t="n">
        <v>46321</v>
      </c>
      <c r="D20" s="10" t="n">
        <v>46334</v>
      </c>
      <c r="E20" s="9" t="s">
        <v>14</v>
      </c>
      <c r="F20" s="9" t="s">
        <v>43</v>
      </c>
      <c r="G20" s="9" t="s">
        <v>46</v>
      </c>
      <c r="H20" s="11" t="str">
        <f aca="false">IF(AND($B20="Milestone",$C20&lt;=H$5+6,$D20&gt;=H$5),"◆","")</f>
        <v/>
      </c>
      <c r="I20" s="11" t="str">
        <f aca="false">IF(AND($B20="Milestone",$C20&lt;=I$5+6,$D20&gt;=I$5),"◆","")</f>
        <v/>
      </c>
      <c r="J20" s="11" t="str">
        <f aca="false">IF(AND($B20="Milestone",$C20&lt;=J$5+6,$D20&gt;=J$5),"◆","")</f>
        <v/>
      </c>
      <c r="K20" s="11" t="str">
        <f aca="false">IF(AND($B20="Milestone",$C20&lt;=K$5+6,$D20&gt;=K$5),"◆","")</f>
        <v/>
      </c>
      <c r="L20" s="11" t="str">
        <f aca="false">IF(AND($B20="Milestone",$C20&lt;=L$5+6,$D20&gt;=L$5),"◆","")</f>
        <v/>
      </c>
      <c r="M20" s="11" t="str">
        <f aca="false">IF(AND($B20="Milestone",$C20&lt;=M$5+6,$D20&gt;=M$5),"◆","")</f>
        <v/>
      </c>
      <c r="N20" s="11" t="str">
        <f aca="false">IF(AND($B20="Milestone",$C20&lt;=N$5+6,$D20&gt;=N$5),"◆","")</f>
        <v/>
      </c>
      <c r="O20" s="11" t="str">
        <f aca="false">IF(AND($B20="Milestone",$C20&lt;=O$5+6,$D20&gt;=O$5),"◆","")</f>
        <v/>
      </c>
      <c r="P20" s="11" t="str">
        <f aca="false">IF(AND($B20="Milestone",$C20&lt;=P$5+6,$D20&gt;=P$5),"◆","")</f>
        <v/>
      </c>
      <c r="Q20" s="11" t="str">
        <f aca="false">IF(AND($B20="Milestone",$C20&lt;=Q$5+6,$D20&gt;=Q$5),"◆","")</f>
        <v/>
      </c>
      <c r="R20" s="11" t="str">
        <f aca="false">IF(AND($B20="Milestone",$C20&lt;=R$5+6,$D20&gt;=R$5),"◆","")</f>
        <v/>
      </c>
      <c r="S20" s="11" t="str">
        <f aca="false">IF(AND($B20="Milestone",$C20&lt;=S$5+6,$D20&gt;=S$5),"◆","")</f>
        <v/>
      </c>
      <c r="T20" s="11" t="str">
        <f aca="false">IF(AND($B20="Milestone",$C20&lt;=T$5+6,$D20&gt;=T$5),"◆","")</f>
        <v/>
      </c>
      <c r="U20" s="11" t="str">
        <f aca="false">IF(AND($B20="Milestone",$C20&lt;=U$5+6,$D20&gt;=U$5),"◆","")</f>
        <v/>
      </c>
      <c r="V20" s="11" t="str">
        <f aca="false">IF(AND($B20="Milestone",$C20&lt;=V$5+6,$D20&gt;=V$5),"◆","")</f>
        <v/>
      </c>
      <c r="W20" s="11" t="str">
        <f aca="false">IF(AND($B20="Milestone",$C20&lt;=W$5+6,$D20&gt;=W$5),"◆","")</f>
        <v/>
      </c>
      <c r="X20" s="11" t="str">
        <f aca="false">IF(AND($B20="Milestone",$C20&lt;=X$5+6,$D20&gt;=X$5),"◆","")</f>
        <v/>
      </c>
      <c r="Y20" s="11" t="str">
        <f aca="false">IF(AND($B20="Milestone",$C20&lt;=Y$5+6,$D20&gt;=Y$5),"◆","")</f>
        <v/>
      </c>
      <c r="Z20" s="11" t="str">
        <f aca="false">IF(AND($B20="Milestone",$C20&lt;=Z$5+6,$D20&gt;=Z$5),"◆","")</f>
        <v/>
      </c>
      <c r="AA20" s="11" t="str">
        <f aca="false">IF(AND($B20="Milestone",$C20&lt;=AA$5+6,$D20&gt;=AA$5),"◆","")</f>
        <v/>
      </c>
      <c r="AB20" s="11" t="str">
        <f aca="false">IF(AND($B20="Milestone",$C20&lt;=AB$5+6,$D20&gt;=AB$5),"◆","")</f>
        <v/>
      </c>
      <c r="AC20" s="11" t="str">
        <f aca="false">IF(AND($B20="Milestone",$C20&lt;=AC$5+6,$D20&gt;=AC$5),"◆","")</f>
        <v/>
      </c>
      <c r="AD20" s="11" t="str">
        <f aca="false">IF(AND($B20="Milestone",$C20&lt;=AD$5+6,$D20&gt;=AD$5),"◆","")</f>
        <v/>
      </c>
      <c r="AE20" s="11" t="str">
        <f aca="false">IF(AND($B20="Milestone",$C20&lt;=AE$5+6,$D20&gt;=AE$5),"◆","")</f>
        <v/>
      </c>
      <c r="AF20" s="11" t="str">
        <f aca="false">IF(AND($B20="Milestone",$C20&lt;=AF$5+6,$D20&gt;=AF$5),"◆","")</f>
        <v/>
      </c>
      <c r="AG20" s="11" t="str">
        <f aca="false">IF(AND($B20="Milestone",$C20&lt;=AG$5+6,$D20&gt;=AG$5),"◆","")</f>
        <v/>
      </c>
      <c r="AH20" s="11" t="str">
        <f aca="false">IF(AND($B20="Milestone",$C20&lt;=AH$5+6,$D20&gt;=AH$5),"◆","")</f>
        <v/>
      </c>
    </row>
    <row r="21" customFormat="false" ht="15" hidden="false" customHeight="false" outlineLevel="0" collapsed="false">
      <c r="A21" s="9" t="s">
        <v>47</v>
      </c>
      <c r="B21" s="9" t="s">
        <v>3</v>
      </c>
      <c r="C21" s="10" t="n">
        <v>46328</v>
      </c>
      <c r="D21" s="10" t="n">
        <v>46356</v>
      </c>
      <c r="E21" s="9" t="s">
        <v>14</v>
      </c>
      <c r="F21" s="9" t="s">
        <v>43</v>
      </c>
      <c r="G21" s="9" t="s">
        <v>48</v>
      </c>
      <c r="H21" s="11" t="str">
        <f aca="false">IF(AND($B21="Milestone",$C21&lt;=H$5+6,$D21&gt;=H$5),"◆","")</f>
        <v/>
      </c>
      <c r="I21" s="11" t="str">
        <f aca="false">IF(AND($B21="Milestone",$C21&lt;=I$5+6,$D21&gt;=I$5),"◆","")</f>
        <v/>
      </c>
      <c r="J21" s="11" t="str">
        <f aca="false">IF(AND($B21="Milestone",$C21&lt;=J$5+6,$D21&gt;=J$5),"◆","")</f>
        <v/>
      </c>
      <c r="K21" s="11" t="str">
        <f aca="false">IF(AND($B21="Milestone",$C21&lt;=K$5+6,$D21&gt;=K$5),"◆","")</f>
        <v/>
      </c>
      <c r="L21" s="11" t="str">
        <f aca="false">IF(AND($B21="Milestone",$C21&lt;=L$5+6,$D21&gt;=L$5),"◆","")</f>
        <v/>
      </c>
      <c r="M21" s="11" t="str">
        <f aca="false">IF(AND($B21="Milestone",$C21&lt;=M$5+6,$D21&gt;=M$5),"◆","")</f>
        <v/>
      </c>
      <c r="N21" s="11" t="str">
        <f aca="false">IF(AND($B21="Milestone",$C21&lt;=N$5+6,$D21&gt;=N$5),"◆","")</f>
        <v/>
      </c>
      <c r="O21" s="11" t="str">
        <f aca="false">IF(AND($B21="Milestone",$C21&lt;=O$5+6,$D21&gt;=O$5),"◆","")</f>
        <v/>
      </c>
      <c r="P21" s="11" t="str">
        <f aca="false">IF(AND($B21="Milestone",$C21&lt;=P$5+6,$D21&gt;=P$5),"◆","")</f>
        <v/>
      </c>
      <c r="Q21" s="11" t="str">
        <f aca="false">IF(AND($B21="Milestone",$C21&lt;=Q$5+6,$D21&gt;=Q$5),"◆","")</f>
        <v/>
      </c>
      <c r="R21" s="11" t="str">
        <f aca="false">IF(AND($B21="Milestone",$C21&lt;=R$5+6,$D21&gt;=R$5),"◆","")</f>
        <v/>
      </c>
      <c r="S21" s="11" t="str">
        <f aca="false">IF(AND($B21="Milestone",$C21&lt;=S$5+6,$D21&gt;=S$5),"◆","")</f>
        <v/>
      </c>
      <c r="T21" s="11" t="str">
        <f aca="false">IF(AND($B21="Milestone",$C21&lt;=T$5+6,$D21&gt;=T$5),"◆","")</f>
        <v/>
      </c>
      <c r="U21" s="11" t="str">
        <f aca="false">IF(AND($B21="Milestone",$C21&lt;=U$5+6,$D21&gt;=U$5),"◆","")</f>
        <v/>
      </c>
      <c r="V21" s="11" t="str">
        <f aca="false">IF(AND($B21="Milestone",$C21&lt;=V$5+6,$D21&gt;=V$5),"◆","")</f>
        <v/>
      </c>
      <c r="W21" s="11" t="str">
        <f aca="false">IF(AND($B21="Milestone",$C21&lt;=W$5+6,$D21&gt;=W$5),"◆","")</f>
        <v/>
      </c>
      <c r="X21" s="11" t="str">
        <f aca="false">IF(AND($B21="Milestone",$C21&lt;=X$5+6,$D21&gt;=X$5),"◆","")</f>
        <v/>
      </c>
      <c r="Y21" s="11" t="str">
        <f aca="false">IF(AND($B21="Milestone",$C21&lt;=Y$5+6,$D21&gt;=Y$5),"◆","")</f>
        <v/>
      </c>
      <c r="Z21" s="11" t="str">
        <f aca="false">IF(AND($B21="Milestone",$C21&lt;=Z$5+6,$D21&gt;=Z$5),"◆","")</f>
        <v/>
      </c>
      <c r="AA21" s="11" t="str">
        <f aca="false">IF(AND($B21="Milestone",$C21&lt;=AA$5+6,$D21&gt;=AA$5),"◆","")</f>
        <v/>
      </c>
      <c r="AB21" s="11" t="str">
        <f aca="false">IF(AND($B21="Milestone",$C21&lt;=AB$5+6,$D21&gt;=AB$5),"◆","")</f>
        <v/>
      </c>
      <c r="AC21" s="11" t="str">
        <f aca="false">IF(AND($B21="Milestone",$C21&lt;=AC$5+6,$D21&gt;=AC$5),"◆","")</f>
        <v/>
      </c>
      <c r="AD21" s="11" t="str">
        <f aca="false">IF(AND($B21="Milestone",$C21&lt;=AD$5+6,$D21&gt;=AD$5),"◆","")</f>
        <v/>
      </c>
      <c r="AE21" s="11" t="str">
        <f aca="false">IF(AND($B21="Milestone",$C21&lt;=AE$5+6,$D21&gt;=AE$5),"◆","")</f>
        <v/>
      </c>
      <c r="AF21" s="11" t="str">
        <f aca="false">IF(AND($B21="Milestone",$C21&lt;=AF$5+6,$D21&gt;=AF$5),"◆","")</f>
        <v/>
      </c>
      <c r="AG21" s="11" t="str">
        <f aca="false">IF(AND($B21="Milestone",$C21&lt;=AG$5+6,$D21&gt;=AG$5),"◆","")</f>
        <v/>
      </c>
      <c r="AH21" s="11" t="str">
        <f aca="false">IF(AND($B21="Milestone",$C21&lt;=AH$5+6,$D21&gt;=AH$5),"◆","")</f>
        <v/>
      </c>
    </row>
    <row r="22" customFormat="false" ht="15" hidden="false" customHeight="false" outlineLevel="0" collapsed="false">
      <c r="A22" s="9" t="s">
        <v>49</v>
      </c>
      <c r="B22" s="9" t="s">
        <v>3</v>
      </c>
      <c r="C22" s="10" t="n">
        <v>46335</v>
      </c>
      <c r="D22" s="10" t="n">
        <v>46353</v>
      </c>
      <c r="E22" s="9" t="s">
        <v>14</v>
      </c>
      <c r="F22" s="9" t="s">
        <v>50</v>
      </c>
      <c r="G22" s="9" t="s">
        <v>51</v>
      </c>
      <c r="H22" s="11" t="str">
        <f aca="false">IF(AND($B22="Milestone",$C22&lt;=H$5+6,$D22&gt;=H$5),"◆","")</f>
        <v/>
      </c>
      <c r="I22" s="11" t="str">
        <f aca="false">IF(AND($B22="Milestone",$C22&lt;=I$5+6,$D22&gt;=I$5),"◆","")</f>
        <v/>
      </c>
      <c r="J22" s="11" t="str">
        <f aca="false">IF(AND($B22="Milestone",$C22&lt;=J$5+6,$D22&gt;=J$5),"◆","")</f>
        <v/>
      </c>
      <c r="K22" s="11" t="str">
        <f aca="false">IF(AND($B22="Milestone",$C22&lt;=K$5+6,$D22&gt;=K$5),"◆","")</f>
        <v/>
      </c>
      <c r="L22" s="11" t="str">
        <f aca="false">IF(AND($B22="Milestone",$C22&lt;=L$5+6,$D22&gt;=L$5),"◆","")</f>
        <v/>
      </c>
      <c r="M22" s="11" t="str">
        <f aca="false">IF(AND($B22="Milestone",$C22&lt;=M$5+6,$D22&gt;=M$5),"◆","")</f>
        <v/>
      </c>
      <c r="N22" s="11" t="str">
        <f aca="false">IF(AND($B22="Milestone",$C22&lt;=N$5+6,$D22&gt;=N$5),"◆","")</f>
        <v/>
      </c>
      <c r="O22" s="11" t="str">
        <f aca="false">IF(AND($B22="Milestone",$C22&lt;=O$5+6,$D22&gt;=O$5),"◆","")</f>
        <v/>
      </c>
      <c r="P22" s="11" t="str">
        <f aca="false">IF(AND($B22="Milestone",$C22&lt;=P$5+6,$D22&gt;=P$5),"◆","")</f>
        <v/>
      </c>
      <c r="Q22" s="11" t="str">
        <f aca="false">IF(AND($B22="Milestone",$C22&lt;=Q$5+6,$D22&gt;=Q$5),"◆","")</f>
        <v/>
      </c>
      <c r="R22" s="11" t="str">
        <f aca="false">IF(AND($B22="Milestone",$C22&lt;=R$5+6,$D22&gt;=R$5),"◆","")</f>
        <v/>
      </c>
      <c r="S22" s="11" t="str">
        <f aca="false">IF(AND($B22="Milestone",$C22&lt;=S$5+6,$D22&gt;=S$5),"◆","")</f>
        <v/>
      </c>
      <c r="T22" s="11" t="str">
        <f aca="false">IF(AND($B22="Milestone",$C22&lt;=T$5+6,$D22&gt;=T$5),"◆","")</f>
        <v/>
      </c>
      <c r="U22" s="11" t="str">
        <f aca="false">IF(AND($B22="Milestone",$C22&lt;=U$5+6,$D22&gt;=U$5),"◆","")</f>
        <v/>
      </c>
      <c r="V22" s="11" t="str">
        <f aca="false">IF(AND($B22="Milestone",$C22&lt;=V$5+6,$D22&gt;=V$5),"◆","")</f>
        <v/>
      </c>
      <c r="W22" s="11" t="str">
        <f aca="false">IF(AND($B22="Milestone",$C22&lt;=W$5+6,$D22&gt;=W$5),"◆","")</f>
        <v/>
      </c>
      <c r="X22" s="11" t="str">
        <f aca="false">IF(AND($B22="Milestone",$C22&lt;=X$5+6,$D22&gt;=X$5),"◆","")</f>
        <v/>
      </c>
      <c r="Y22" s="11" t="str">
        <f aca="false">IF(AND($B22="Milestone",$C22&lt;=Y$5+6,$D22&gt;=Y$5),"◆","")</f>
        <v/>
      </c>
      <c r="Z22" s="11" t="str">
        <f aca="false">IF(AND($B22="Milestone",$C22&lt;=Z$5+6,$D22&gt;=Z$5),"◆","")</f>
        <v/>
      </c>
      <c r="AA22" s="11" t="str">
        <f aca="false">IF(AND($B22="Milestone",$C22&lt;=AA$5+6,$D22&gt;=AA$5),"◆","")</f>
        <v/>
      </c>
      <c r="AB22" s="11" t="str">
        <f aca="false">IF(AND($B22="Milestone",$C22&lt;=AB$5+6,$D22&gt;=AB$5),"◆","")</f>
        <v/>
      </c>
      <c r="AC22" s="11" t="str">
        <f aca="false">IF(AND($B22="Milestone",$C22&lt;=AC$5+6,$D22&gt;=AC$5),"◆","")</f>
        <v/>
      </c>
      <c r="AD22" s="11" t="str">
        <f aca="false">IF(AND($B22="Milestone",$C22&lt;=AD$5+6,$D22&gt;=AD$5),"◆","")</f>
        <v/>
      </c>
      <c r="AE22" s="11" t="str">
        <f aca="false">IF(AND($B22="Milestone",$C22&lt;=AE$5+6,$D22&gt;=AE$5),"◆","")</f>
        <v/>
      </c>
      <c r="AF22" s="11" t="str">
        <f aca="false">IF(AND($B22="Milestone",$C22&lt;=AF$5+6,$D22&gt;=AF$5),"◆","")</f>
        <v/>
      </c>
      <c r="AG22" s="11" t="str">
        <f aca="false">IF(AND($B22="Milestone",$C22&lt;=AG$5+6,$D22&gt;=AG$5),"◆","")</f>
        <v/>
      </c>
      <c r="AH22" s="11" t="str">
        <f aca="false">IF(AND($B22="Milestone",$C22&lt;=AH$5+6,$D22&gt;=AH$5),"◆","")</f>
        <v/>
      </c>
    </row>
    <row r="23" customFormat="false" ht="15" hidden="false" customHeight="false" outlineLevel="0" collapsed="false">
      <c r="A23" s="9" t="s">
        <v>52</v>
      </c>
      <c r="B23" s="9" t="s">
        <v>3</v>
      </c>
      <c r="C23" s="10" t="n">
        <v>46342</v>
      </c>
      <c r="D23" s="10" t="n">
        <v>46357</v>
      </c>
      <c r="E23" s="9" t="s">
        <v>14</v>
      </c>
      <c r="F23" s="9" t="s">
        <v>53</v>
      </c>
      <c r="G23" s="9" t="s">
        <v>54</v>
      </c>
      <c r="H23" s="11" t="str">
        <f aca="false">IF(AND($B23="Milestone",$C23&lt;=H$5+6,$D23&gt;=H$5),"◆","")</f>
        <v/>
      </c>
      <c r="I23" s="11" t="str">
        <f aca="false">IF(AND($B23="Milestone",$C23&lt;=I$5+6,$D23&gt;=I$5),"◆","")</f>
        <v/>
      </c>
      <c r="J23" s="11" t="str">
        <f aca="false">IF(AND($B23="Milestone",$C23&lt;=J$5+6,$D23&gt;=J$5),"◆","")</f>
        <v/>
      </c>
      <c r="K23" s="11" t="str">
        <f aca="false">IF(AND($B23="Milestone",$C23&lt;=K$5+6,$D23&gt;=K$5),"◆","")</f>
        <v/>
      </c>
      <c r="L23" s="11" t="str">
        <f aca="false">IF(AND($B23="Milestone",$C23&lt;=L$5+6,$D23&gt;=L$5),"◆","")</f>
        <v/>
      </c>
      <c r="M23" s="11" t="str">
        <f aca="false">IF(AND($B23="Milestone",$C23&lt;=M$5+6,$D23&gt;=M$5),"◆","")</f>
        <v/>
      </c>
      <c r="N23" s="11" t="str">
        <f aca="false">IF(AND($B23="Milestone",$C23&lt;=N$5+6,$D23&gt;=N$5),"◆","")</f>
        <v/>
      </c>
      <c r="O23" s="11" t="str">
        <f aca="false">IF(AND($B23="Milestone",$C23&lt;=O$5+6,$D23&gt;=O$5),"◆","")</f>
        <v/>
      </c>
      <c r="P23" s="11" t="str">
        <f aca="false">IF(AND($B23="Milestone",$C23&lt;=P$5+6,$D23&gt;=P$5),"◆","")</f>
        <v/>
      </c>
      <c r="Q23" s="11" t="str">
        <f aca="false">IF(AND($B23="Milestone",$C23&lt;=Q$5+6,$D23&gt;=Q$5),"◆","")</f>
        <v/>
      </c>
      <c r="R23" s="11" t="str">
        <f aca="false">IF(AND($B23="Milestone",$C23&lt;=R$5+6,$D23&gt;=R$5),"◆","")</f>
        <v/>
      </c>
      <c r="S23" s="11" t="str">
        <f aca="false">IF(AND($B23="Milestone",$C23&lt;=S$5+6,$D23&gt;=S$5),"◆","")</f>
        <v/>
      </c>
      <c r="T23" s="11" t="str">
        <f aca="false">IF(AND($B23="Milestone",$C23&lt;=T$5+6,$D23&gt;=T$5),"◆","")</f>
        <v/>
      </c>
      <c r="U23" s="11" t="str">
        <f aca="false">IF(AND($B23="Milestone",$C23&lt;=U$5+6,$D23&gt;=U$5),"◆","")</f>
        <v/>
      </c>
      <c r="V23" s="11" t="str">
        <f aca="false">IF(AND($B23="Milestone",$C23&lt;=V$5+6,$D23&gt;=V$5),"◆","")</f>
        <v/>
      </c>
      <c r="W23" s="11" t="str">
        <f aca="false">IF(AND($B23="Milestone",$C23&lt;=W$5+6,$D23&gt;=W$5),"◆","")</f>
        <v/>
      </c>
      <c r="X23" s="11" t="str">
        <f aca="false">IF(AND($B23="Milestone",$C23&lt;=X$5+6,$D23&gt;=X$5),"◆","")</f>
        <v/>
      </c>
      <c r="Y23" s="11" t="str">
        <f aca="false">IF(AND($B23="Milestone",$C23&lt;=Y$5+6,$D23&gt;=Y$5),"◆","")</f>
        <v/>
      </c>
      <c r="Z23" s="11" t="str">
        <f aca="false">IF(AND($B23="Milestone",$C23&lt;=Z$5+6,$D23&gt;=Z$5),"◆","")</f>
        <v/>
      </c>
      <c r="AA23" s="11" t="str">
        <f aca="false">IF(AND($B23="Milestone",$C23&lt;=AA$5+6,$D23&gt;=AA$5),"◆","")</f>
        <v/>
      </c>
      <c r="AB23" s="11" t="str">
        <f aca="false">IF(AND($B23="Milestone",$C23&lt;=AB$5+6,$D23&gt;=AB$5),"◆","")</f>
        <v/>
      </c>
      <c r="AC23" s="11" t="str">
        <f aca="false">IF(AND($B23="Milestone",$C23&lt;=AC$5+6,$D23&gt;=AC$5),"◆","")</f>
        <v/>
      </c>
      <c r="AD23" s="11" t="str">
        <f aca="false">IF(AND($B23="Milestone",$C23&lt;=AD$5+6,$D23&gt;=AD$5),"◆","")</f>
        <v/>
      </c>
      <c r="AE23" s="11" t="str">
        <f aca="false">IF(AND($B23="Milestone",$C23&lt;=AE$5+6,$D23&gt;=AE$5),"◆","")</f>
        <v/>
      </c>
      <c r="AF23" s="11" t="str">
        <f aca="false">IF(AND($B23="Milestone",$C23&lt;=AF$5+6,$D23&gt;=AF$5),"◆","")</f>
        <v/>
      </c>
      <c r="AG23" s="11" t="str">
        <f aca="false">IF(AND($B23="Milestone",$C23&lt;=AG$5+6,$D23&gt;=AG$5),"◆","")</f>
        <v/>
      </c>
      <c r="AH23" s="11" t="str">
        <f aca="false">IF(AND($B23="Milestone",$C23&lt;=AH$5+6,$D23&gt;=AH$5),"◆","")</f>
        <v/>
      </c>
    </row>
    <row r="24" customFormat="false" ht="15" hidden="false" customHeight="false" outlineLevel="0" collapsed="false">
      <c r="A24" s="9" t="s">
        <v>55</v>
      </c>
      <c r="B24" s="9" t="s">
        <v>13</v>
      </c>
      <c r="C24" s="10" t="n">
        <v>46357</v>
      </c>
      <c r="D24" s="10" t="n">
        <v>46357</v>
      </c>
      <c r="E24" s="9" t="s">
        <v>14</v>
      </c>
      <c r="F24" s="9" t="s">
        <v>53</v>
      </c>
      <c r="G24" s="9" t="s">
        <v>56</v>
      </c>
      <c r="H24" s="11" t="str">
        <f aca="false">IF(AND($B24="Milestone",$C24&lt;=H$5+6,$D24&gt;=H$5),"◆","")</f>
        <v/>
      </c>
      <c r="I24" s="11" t="str">
        <f aca="false">IF(AND($B24="Milestone",$C24&lt;=I$5+6,$D24&gt;=I$5),"◆","")</f>
        <v/>
      </c>
      <c r="J24" s="11" t="str">
        <f aca="false">IF(AND($B24="Milestone",$C24&lt;=J$5+6,$D24&gt;=J$5),"◆","")</f>
        <v/>
      </c>
      <c r="K24" s="11" t="str">
        <f aca="false">IF(AND($B24="Milestone",$C24&lt;=K$5+6,$D24&gt;=K$5),"◆","")</f>
        <v/>
      </c>
      <c r="L24" s="11" t="str">
        <f aca="false">IF(AND($B24="Milestone",$C24&lt;=L$5+6,$D24&gt;=L$5),"◆","")</f>
        <v/>
      </c>
      <c r="M24" s="11" t="str">
        <f aca="false">IF(AND($B24="Milestone",$C24&lt;=M$5+6,$D24&gt;=M$5),"◆","")</f>
        <v/>
      </c>
      <c r="N24" s="11" t="str">
        <f aca="false">IF(AND($B24="Milestone",$C24&lt;=N$5+6,$D24&gt;=N$5),"◆","")</f>
        <v/>
      </c>
      <c r="O24" s="11" t="str">
        <f aca="false">IF(AND($B24="Milestone",$C24&lt;=O$5+6,$D24&gt;=O$5),"◆","")</f>
        <v>◆</v>
      </c>
      <c r="P24" s="11" t="str">
        <f aca="false">IF(AND($B24="Milestone",$C24&lt;=P$5+6,$D24&gt;=P$5),"◆","")</f>
        <v/>
      </c>
      <c r="Q24" s="11" t="str">
        <f aca="false">IF(AND($B24="Milestone",$C24&lt;=Q$5+6,$D24&gt;=Q$5),"◆","")</f>
        <v/>
      </c>
      <c r="R24" s="11" t="str">
        <f aca="false">IF(AND($B24="Milestone",$C24&lt;=R$5+6,$D24&gt;=R$5),"◆","")</f>
        <v/>
      </c>
      <c r="S24" s="11" t="str">
        <f aca="false">IF(AND($B24="Milestone",$C24&lt;=S$5+6,$D24&gt;=S$5),"◆","")</f>
        <v/>
      </c>
      <c r="T24" s="11" t="str">
        <f aca="false">IF(AND($B24="Milestone",$C24&lt;=T$5+6,$D24&gt;=T$5),"◆","")</f>
        <v/>
      </c>
      <c r="U24" s="11" t="str">
        <f aca="false">IF(AND($B24="Milestone",$C24&lt;=U$5+6,$D24&gt;=U$5),"◆","")</f>
        <v/>
      </c>
      <c r="V24" s="11" t="str">
        <f aca="false">IF(AND($B24="Milestone",$C24&lt;=V$5+6,$D24&gt;=V$5),"◆","")</f>
        <v/>
      </c>
      <c r="W24" s="11" t="str">
        <f aca="false">IF(AND($B24="Milestone",$C24&lt;=W$5+6,$D24&gt;=W$5),"◆","")</f>
        <v/>
      </c>
      <c r="X24" s="11" t="str">
        <f aca="false">IF(AND($B24="Milestone",$C24&lt;=X$5+6,$D24&gt;=X$5),"◆","")</f>
        <v/>
      </c>
      <c r="Y24" s="11" t="str">
        <f aca="false">IF(AND($B24="Milestone",$C24&lt;=Y$5+6,$D24&gt;=Y$5),"◆","")</f>
        <v/>
      </c>
      <c r="Z24" s="11" t="str">
        <f aca="false">IF(AND($B24="Milestone",$C24&lt;=Z$5+6,$D24&gt;=Z$5),"◆","")</f>
        <v/>
      </c>
      <c r="AA24" s="11" t="str">
        <f aca="false">IF(AND($B24="Milestone",$C24&lt;=AA$5+6,$D24&gt;=AA$5),"◆","")</f>
        <v/>
      </c>
      <c r="AB24" s="11" t="str">
        <f aca="false">IF(AND($B24="Milestone",$C24&lt;=AB$5+6,$D24&gt;=AB$5),"◆","")</f>
        <v/>
      </c>
      <c r="AC24" s="11" t="str">
        <f aca="false">IF(AND($B24="Milestone",$C24&lt;=AC$5+6,$D24&gt;=AC$5),"◆","")</f>
        <v/>
      </c>
      <c r="AD24" s="11" t="str">
        <f aca="false">IF(AND($B24="Milestone",$C24&lt;=AD$5+6,$D24&gt;=AD$5),"◆","")</f>
        <v/>
      </c>
      <c r="AE24" s="11" t="str">
        <f aca="false">IF(AND($B24="Milestone",$C24&lt;=AE$5+6,$D24&gt;=AE$5),"◆","")</f>
        <v/>
      </c>
      <c r="AF24" s="11" t="str">
        <f aca="false">IF(AND($B24="Milestone",$C24&lt;=AF$5+6,$D24&gt;=AF$5),"◆","")</f>
        <v/>
      </c>
      <c r="AG24" s="11" t="str">
        <f aca="false">IF(AND($B24="Milestone",$C24&lt;=AG$5+6,$D24&gt;=AG$5),"◆","")</f>
        <v/>
      </c>
      <c r="AH24" s="11" t="str">
        <f aca="false">IF(AND($B24="Milestone",$C24&lt;=AH$5+6,$D24&gt;=AH$5),"◆","")</f>
        <v/>
      </c>
    </row>
    <row r="25" customFormat="false" ht="15" hidden="false" customHeight="false" outlineLevel="0" collapsed="false">
      <c r="A25" s="9" t="s">
        <v>57</v>
      </c>
      <c r="B25" s="9" t="s">
        <v>3</v>
      </c>
      <c r="C25" s="10" t="n">
        <v>46357</v>
      </c>
      <c r="D25" s="10" t="n">
        <v>46362</v>
      </c>
      <c r="E25" s="9" t="s">
        <v>14</v>
      </c>
      <c r="F25" s="9" t="s">
        <v>30</v>
      </c>
      <c r="G25" s="9" t="s">
        <v>58</v>
      </c>
      <c r="H25" s="11" t="str">
        <f aca="false">IF(AND($B25="Milestone",$C25&lt;=H$5+6,$D25&gt;=H$5),"◆","")</f>
        <v/>
      </c>
      <c r="I25" s="11" t="str">
        <f aca="false">IF(AND($B25="Milestone",$C25&lt;=I$5+6,$D25&gt;=I$5),"◆","")</f>
        <v/>
      </c>
      <c r="J25" s="11" t="str">
        <f aca="false">IF(AND($B25="Milestone",$C25&lt;=J$5+6,$D25&gt;=J$5),"◆","")</f>
        <v/>
      </c>
      <c r="K25" s="11" t="str">
        <f aca="false">IF(AND($B25="Milestone",$C25&lt;=K$5+6,$D25&gt;=K$5),"◆","")</f>
        <v/>
      </c>
      <c r="L25" s="11" t="str">
        <f aca="false">IF(AND($B25="Milestone",$C25&lt;=L$5+6,$D25&gt;=L$5),"◆","")</f>
        <v/>
      </c>
      <c r="M25" s="11" t="str">
        <f aca="false">IF(AND($B25="Milestone",$C25&lt;=M$5+6,$D25&gt;=M$5),"◆","")</f>
        <v/>
      </c>
      <c r="N25" s="11" t="str">
        <f aca="false">IF(AND($B25="Milestone",$C25&lt;=N$5+6,$D25&gt;=N$5),"◆","")</f>
        <v/>
      </c>
      <c r="O25" s="11" t="str">
        <f aca="false">IF(AND($B25="Milestone",$C25&lt;=O$5+6,$D25&gt;=O$5),"◆","")</f>
        <v/>
      </c>
      <c r="P25" s="11" t="str">
        <f aca="false">IF(AND($B25="Milestone",$C25&lt;=P$5+6,$D25&gt;=P$5),"◆","")</f>
        <v/>
      </c>
      <c r="Q25" s="11" t="str">
        <f aca="false">IF(AND($B25="Milestone",$C25&lt;=Q$5+6,$D25&gt;=Q$5),"◆","")</f>
        <v/>
      </c>
      <c r="R25" s="11" t="str">
        <f aca="false">IF(AND($B25="Milestone",$C25&lt;=R$5+6,$D25&gt;=R$5),"◆","")</f>
        <v/>
      </c>
      <c r="S25" s="11" t="str">
        <f aca="false">IF(AND($B25="Milestone",$C25&lt;=S$5+6,$D25&gt;=S$5),"◆","")</f>
        <v/>
      </c>
      <c r="T25" s="11" t="str">
        <f aca="false">IF(AND($B25="Milestone",$C25&lt;=T$5+6,$D25&gt;=T$5),"◆","")</f>
        <v/>
      </c>
      <c r="U25" s="11" t="str">
        <f aca="false">IF(AND($B25="Milestone",$C25&lt;=U$5+6,$D25&gt;=U$5),"◆","")</f>
        <v/>
      </c>
      <c r="V25" s="11" t="str">
        <f aca="false">IF(AND($B25="Milestone",$C25&lt;=V$5+6,$D25&gt;=V$5),"◆","")</f>
        <v/>
      </c>
      <c r="W25" s="11" t="str">
        <f aca="false">IF(AND($B25="Milestone",$C25&lt;=W$5+6,$D25&gt;=W$5),"◆","")</f>
        <v/>
      </c>
      <c r="X25" s="11" t="str">
        <f aca="false">IF(AND($B25="Milestone",$C25&lt;=X$5+6,$D25&gt;=X$5),"◆","")</f>
        <v/>
      </c>
      <c r="Y25" s="11" t="str">
        <f aca="false">IF(AND($B25="Milestone",$C25&lt;=Y$5+6,$D25&gt;=Y$5),"◆","")</f>
        <v/>
      </c>
      <c r="Z25" s="11" t="str">
        <f aca="false">IF(AND($B25="Milestone",$C25&lt;=Z$5+6,$D25&gt;=Z$5),"◆","")</f>
        <v/>
      </c>
      <c r="AA25" s="11" t="str">
        <f aca="false">IF(AND($B25="Milestone",$C25&lt;=AA$5+6,$D25&gt;=AA$5),"◆","")</f>
        <v/>
      </c>
      <c r="AB25" s="11" t="str">
        <f aca="false">IF(AND($B25="Milestone",$C25&lt;=AB$5+6,$D25&gt;=AB$5),"◆","")</f>
        <v/>
      </c>
      <c r="AC25" s="11" t="str">
        <f aca="false">IF(AND($B25="Milestone",$C25&lt;=AC$5+6,$D25&gt;=AC$5),"◆","")</f>
        <v/>
      </c>
      <c r="AD25" s="11" t="str">
        <f aca="false">IF(AND($B25="Milestone",$C25&lt;=AD$5+6,$D25&gt;=AD$5),"◆","")</f>
        <v/>
      </c>
      <c r="AE25" s="11" t="str">
        <f aca="false">IF(AND($B25="Milestone",$C25&lt;=AE$5+6,$D25&gt;=AE$5),"◆","")</f>
        <v/>
      </c>
      <c r="AF25" s="11" t="str">
        <f aca="false">IF(AND($B25="Milestone",$C25&lt;=AF$5+6,$D25&gt;=AF$5),"◆","")</f>
        <v/>
      </c>
      <c r="AG25" s="11" t="str">
        <f aca="false">IF(AND($B25="Milestone",$C25&lt;=AG$5+6,$D25&gt;=AG$5),"◆","")</f>
        <v/>
      </c>
      <c r="AH25" s="11" t="str">
        <f aca="false">IF(AND($B25="Milestone",$C25&lt;=AH$5+6,$D25&gt;=AH$5),"◆","")</f>
        <v/>
      </c>
    </row>
    <row r="26" customFormat="false" ht="15" hidden="false" customHeight="false" outlineLevel="0" collapsed="false">
      <c r="A26" s="9" t="s">
        <v>59</v>
      </c>
      <c r="B26" s="9" t="s">
        <v>3</v>
      </c>
      <c r="C26" s="10" t="n">
        <v>46363</v>
      </c>
      <c r="D26" s="10" t="n">
        <v>46374</v>
      </c>
      <c r="E26" s="9" t="s">
        <v>14</v>
      </c>
      <c r="F26" s="9" t="s">
        <v>58</v>
      </c>
      <c r="G26" s="9" t="s">
        <v>60</v>
      </c>
      <c r="H26" s="11" t="str">
        <f aca="false">IF(AND($B26="Milestone",$C26&lt;=H$5+6,$D26&gt;=H$5),"◆","")</f>
        <v/>
      </c>
      <c r="I26" s="11" t="str">
        <f aca="false">IF(AND($B26="Milestone",$C26&lt;=I$5+6,$D26&gt;=I$5),"◆","")</f>
        <v/>
      </c>
      <c r="J26" s="11" t="str">
        <f aca="false">IF(AND($B26="Milestone",$C26&lt;=J$5+6,$D26&gt;=J$5),"◆","")</f>
        <v/>
      </c>
      <c r="K26" s="11" t="str">
        <f aca="false">IF(AND($B26="Milestone",$C26&lt;=K$5+6,$D26&gt;=K$5),"◆","")</f>
        <v/>
      </c>
      <c r="L26" s="11" t="str">
        <f aca="false">IF(AND($B26="Milestone",$C26&lt;=L$5+6,$D26&gt;=L$5),"◆","")</f>
        <v/>
      </c>
      <c r="M26" s="11" t="str">
        <f aca="false">IF(AND($B26="Milestone",$C26&lt;=M$5+6,$D26&gt;=M$5),"◆","")</f>
        <v/>
      </c>
      <c r="N26" s="11" t="str">
        <f aca="false">IF(AND($B26="Milestone",$C26&lt;=N$5+6,$D26&gt;=N$5),"◆","")</f>
        <v/>
      </c>
      <c r="O26" s="11" t="str">
        <f aca="false">IF(AND($B26="Milestone",$C26&lt;=O$5+6,$D26&gt;=O$5),"◆","")</f>
        <v/>
      </c>
      <c r="P26" s="11" t="str">
        <f aca="false">IF(AND($B26="Milestone",$C26&lt;=P$5+6,$D26&gt;=P$5),"◆","")</f>
        <v/>
      </c>
      <c r="Q26" s="11" t="str">
        <f aca="false">IF(AND($B26="Milestone",$C26&lt;=Q$5+6,$D26&gt;=Q$5),"◆","")</f>
        <v/>
      </c>
      <c r="R26" s="11" t="str">
        <f aca="false">IF(AND($B26="Milestone",$C26&lt;=R$5+6,$D26&gt;=R$5),"◆","")</f>
        <v/>
      </c>
      <c r="S26" s="11" t="str">
        <f aca="false">IF(AND($B26="Milestone",$C26&lt;=S$5+6,$D26&gt;=S$5),"◆","")</f>
        <v/>
      </c>
      <c r="T26" s="11" t="str">
        <f aca="false">IF(AND($B26="Milestone",$C26&lt;=T$5+6,$D26&gt;=T$5),"◆","")</f>
        <v/>
      </c>
      <c r="U26" s="11" t="str">
        <f aca="false">IF(AND($B26="Milestone",$C26&lt;=U$5+6,$D26&gt;=U$5),"◆","")</f>
        <v/>
      </c>
      <c r="V26" s="11" t="str">
        <f aca="false">IF(AND($B26="Milestone",$C26&lt;=V$5+6,$D26&gt;=V$5),"◆","")</f>
        <v/>
      </c>
      <c r="W26" s="11" t="str">
        <f aca="false">IF(AND($B26="Milestone",$C26&lt;=W$5+6,$D26&gt;=W$5),"◆","")</f>
        <v/>
      </c>
      <c r="X26" s="11" t="str">
        <f aca="false">IF(AND($B26="Milestone",$C26&lt;=X$5+6,$D26&gt;=X$5),"◆","")</f>
        <v/>
      </c>
      <c r="Y26" s="11" t="str">
        <f aca="false">IF(AND($B26="Milestone",$C26&lt;=Y$5+6,$D26&gt;=Y$5),"◆","")</f>
        <v/>
      </c>
      <c r="Z26" s="11" t="str">
        <f aca="false">IF(AND($B26="Milestone",$C26&lt;=Z$5+6,$D26&gt;=Z$5),"◆","")</f>
        <v/>
      </c>
      <c r="AA26" s="11" t="str">
        <f aca="false">IF(AND($B26="Milestone",$C26&lt;=AA$5+6,$D26&gt;=AA$5),"◆","")</f>
        <v/>
      </c>
      <c r="AB26" s="11" t="str">
        <f aca="false">IF(AND($B26="Milestone",$C26&lt;=AB$5+6,$D26&gt;=AB$5),"◆","")</f>
        <v/>
      </c>
      <c r="AC26" s="11" t="str">
        <f aca="false">IF(AND($B26="Milestone",$C26&lt;=AC$5+6,$D26&gt;=AC$5),"◆","")</f>
        <v/>
      </c>
      <c r="AD26" s="11" t="str">
        <f aca="false">IF(AND($B26="Milestone",$C26&lt;=AD$5+6,$D26&gt;=AD$5),"◆","")</f>
        <v/>
      </c>
      <c r="AE26" s="11" t="str">
        <f aca="false">IF(AND($B26="Milestone",$C26&lt;=AE$5+6,$D26&gt;=AE$5),"◆","")</f>
        <v/>
      </c>
      <c r="AF26" s="11" t="str">
        <f aca="false">IF(AND($B26="Milestone",$C26&lt;=AF$5+6,$D26&gt;=AF$5),"◆","")</f>
        <v/>
      </c>
      <c r="AG26" s="11" t="str">
        <f aca="false">IF(AND($B26="Milestone",$C26&lt;=AG$5+6,$D26&gt;=AG$5),"◆","")</f>
        <v/>
      </c>
      <c r="AH26" s="11" t="str">
        <f aca="false">IF(AND($B26="Milestone",$C26&lt;=AH$5+6,$D26&gt;=AH$5),"◆","")</f>
        <v/>
      </c>
    </row>
    <row r="27" customFormat="false" ht="15" hidden="false" customHeight="false" outlineLevel="0" collapsed="false">
      <c r="A27" s="8" t="s">
        <v>61</v>
      </c>
      <c r="B27" s="8" t="s">
        <v>11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customFormat="false" ht="15" hidden="false" customHeight="false" outlineLevel="0" collapsed="false">
      <c r="A28" s="9" t="s">
        <v>62</v>
      </c>
      <c r="B28" s="9" t="s">
        <v>3</v>
      </c>
      <c r="C28" s="10" t="n">
        <v>46303</v>
      </c>
      <c r="D28" s="10" t="n">
        <v>46356</v>
      </c>
      <c r="E28" s="9" t="s">
        <v>14</v>
      </c>
      <c r="F28" s="9" t="s">
        <v>15</v>
      </c>
      <c r="G28" s="9" t="s">
        <v>63</v>
      </c>
      <c r="H28" s="11" t="str">
        <f aca="false">IF(AND($B28="Milestone",$C28&lt;=H$5+6,$D28&gt;=H$5),"◆","")</f>
        <v/>
      </c>
      <c r="I28" s="11" t="str">
        <f aca="false">IF(AND($B28="Milestone",$C28&lt;=I$5+6,$D28&gt;=I$5),"◆","")</f>
        <v/>
      </c>
      <c r="J28" s="11" t="str">
        <f aca="false">IF(AND($B28="Milestone",$C28&lt;=J$5+6,$D28&gt;=J$5),"◆","")</f>
        <v/>
      </c>
      <c r="K28" s="11" t="str">
        <f aca="false">IF(AND($B28="Milestone",$C28&lt;=K$5+6,$D28&gt;=K$5),"◆","")</f>
        <v/>
      </c>
      <c r="L28" s="11" t="str">
        <f aca="false">IF(AND($B28="Milestone",$C28&lt;=L$5+6,$D28&gt;=L$5),"◆","")</f>
        <v/>
      </c>
      <c r="M28" s="11" t="str">
        <f aca="false">IF(AND($B28="Milestone",$C28&lt;=M$5+6,$D28&gt;=M$5),"◆","")</f>
        <v/>
      </c>
      <c r="N28" s="11" t="str">
        <f aca="false">IF(AND($B28="Milestone",$C28&lt;=N$5+6,$D28&gt;=N$5),"◆","")</f>
        <v/>
      </c>
      <c r="O28" s="11" t="str">
        <f aca="false">IF(AND($B28="Milestone",$C28&lt;=O$5+6,$D28&gt;=O$5),"◆","")</f>
        <v/>
      </c>
      <c r="P28" s="11" t="str">
        <f aca="false">IF(AND($B28="Milestone",$C28&lt;=P$5+6,$D28&gt;=P$5),"◆","")</f>
        <v/>
      </c>
      <c r="Q28" s="11" t="str">
        <f aca="false">IF(AND($B28="Milestone",$C28&lt;=Q$5+6,$D28&gt;=Q$5),"◆","")</f>
        <v/>
      </c>
      <c r="R28" s="11" t="str">
        <f aca="false">IF(AND($B28="Milestone",$C28&lt;=R$5+6,$D28&gt;=R$5),"◆","")</f>
        <v/>
      </c>
      <c r="S28" s="11" t="str">
        <f aca="false">IF(AND($B28="Milestone",$C28&lt;=S$5+6,$D28&gt;=S$5),"◆","")</f>
        <v/>
      </c>
      <c r="T28" s="11" t="str">
        <f aca="false">IF(AND($B28="Milestone",$C28&lt;=T$5+6,$D28&gt;=T$5),"◆","")</f>
        <v/>
      </c>
      <c r="U28" s="11" t="str">
        <f aca="false">IF(AND($B28="Milestone",$C28&lt;=U$5+6,$D28&gt;=U$5),"◆","")</f>
        <v/>
      </c>
      <c r="V28" s="11" t="str">
        <f aca="false">IF(AND($B28="Milestone",$C28&lt;=V$5+6,$D28&gt;=V$5),"◆","")</f>
        <v/>
      </c>
      <c r="W28" s="11" t="str">
        <f aca="false">IF(AND($B28="Milestone",$C28&lt;=W$5+6,$D28&gt;=W$5),"◆","")</f>
        <v/>
      </c>
      <c r="X28" s="11" t="str">
        <f aca="false">IF(AND($B28="Milestone",$C28&lt;=X$5+6,$D28&gt;=X$5),"◆","")</f>
        <v/>
      </c>
      <c r="Y28" s="11" t="str">
        <f aca="false">IF(AND($B28="Milestone",$C28&lt;=Y$5+6,$D28&gt;=Y$5),"◆","")</f>
        <v/>
      </c>
      <c r="Z28" s="11" t="str">
        <f aca="false">IF(AND($B28="Milestone",$C28&lt;=Z$5+6,$D28&gt;=Z$5),"◆","")</f>
        <v/>
      </c>
      <c r="AA28" s="11" t="str">
        <f aca="false">IF(AND($B28="Milestone",$C28&lt;=AA$5+6,$D28&gt;=AA$5),"◆","")</f>
        <v/>
      </c>
      <c r="AB28" s="11" t="str">
        <f aca="false">IF(AND($B28="Milestone",$C28&lt;=AB$5+6,$D28&gt;=AB$5),"◆","")</f>
        <v/>
      </c>
      <c r="AC28" s="11" t="str">
        <f aca="false">IF(AND($B28="Milestone",$C28&lt;=AC$5+6,$D28&gt;=AC$5),"◆","")</f>
        <v/>
      </c>
      <c r="AD28" s="11" t="str">
        <f aca="false">IF(AND($B28="Milestone",$C28&lt;=AD$5+6,$D28&gt;=AD$5),"◆","")</f>
        <v/>
      </c>
      <c r="AE28" s="11" t="str">
        <f aca="false">IF(AND($B28="Milestone",$C28&lt;=AE$5+6,$D28&gt;=AE$5),"◆","")</f>
        <v/>
      </c>
      <c r="AF28" s="11" t="str">
        <f aca="false">IF(AND($B28="Milestone",$C28&lt;=AF$5+6,$D28&gt;=AF$5),"◆","")</f>
        <v/>
      </c>
      <c r="AG28" s="11" t="str">
        <f aca="false">IF(AND($B28="Milestone",$C28&lt;=AG$5+6,$D28&gt;=AG$5),"◆","")</f>
        <v/>
      </c>
      <c r="AH28" s="11" t="str">
        <f aca="false">IF(AND($B28="Milestone",$C28&lt;=AH$5+6,$D28&gt;=AH$5),"◆","")</f>
        <v/>
      </c>
    </row>
    <row r="29" customFormat="false" ht="15" hidden="false" customHeight="false" outlineLevel="0" collapsed="false">
      <c r="A29" s="9" t="s">
        <v>64</v>
      </c>
      <c r="B29" s="9" t="s">
        <v>3</v>
      </c>
      <c r="C29" s="10" t="n">
        <v>46357</v>
      </c>
      <c r="D29" s="10" t="n">
        <v>46376</v>
      </c>
      <c r="E29" s="9" t="s">
        <v>14</v>
      </c>
      <c r="F29" s="9" t="s">
        <v>65</v>
      </c>
      <c r="G29" s="9" t="s">
        <v>66</v>
      </c>
      <c r="H29" s="11" t="str">
        <f aca="false">IF(AND($B29="Milestone",$C29&lt;=H$5+6,$D29&gt;=H$5),"◆","")</f>
        <v/>
      </c>
      <c r="I29" s="11" t="str">
        <f aca="false">IF(AND($B29="Milestone",$C29&lt;=I$5+6,$D29&gt;=I$5),"◆","")</f>
        <v/>
      </c>
      <c r="J29" s="11" t="str">
        <f aca="false">IF(AND($B29="Milestone",$C29&lt;=J$5+6,$D29&gt;=J$5),"◆","")</f>
        <v/>
      </c>
      <c r="K29" s="11" t="str">
        <f aca="false">IF(AND($B29="Milestone",$C29&lt;=K$5+6,$D29&gt;=K$5),"◆","")</f>
        <v/>
      </c>
      <c r="L29" s="11" t="str">
        <f aca="false">IF(AND($B29="Milestone",$C29&lt;=L$5+6,$D29&gt;=L$5),"◆","")</f>
        <v/>
      </c>
      <c r="M29" s="11" t="str">
        <f aca="false">IF(AND($B29="Milestone",$C29&lt;=M$5+6,$D29&gt;=M$5),"◆","")</f>
        <v/>
      </c>
      <c r="N29" s="11" t="str">
        <f aca="false">IF(AND($B29="Milestone",$C29&lt;=N$5+6,$D29&gt;=N$5),"◆","")</f>
        <v/>
      </c>
      <c r="O29" s="11" t="str">
        <f aca="false">IF(AND($B29="Milestone",$C29&lt;=O$5+6,$D29&gt;=O$5),"◆","")</f>
        <v/>
      </c>
      <c r="P29" s="11" t="str">
        <f aca="false">IF(AND($B29="Milestone",$C29&lt;=P$5+6,$D29&gt;=P$5),"◆","")</f>
        <v/>
      </c>
      <c r="Q29" s="11" t="str">
        <f aca="false">IF(AND($B29="Milestone",$C29&lt;=Q$5+6,$D29&gt;=Q$5),"◆","")</f>
        <v/>
      </c>
      <c r="R29" s="11" t="str">
        <f aca="false">IF(AND($B29="Milestone",$C29&lt;=R$5+6,$D29&gt;=R$5),"◆","")</f>
        <v/>
      </c>
      <c r="S29" s="11" t="str">
        <f aca="false">IF(AND($B29="Milestone",$C29&lt;=S$5+6,$D29&gt;=S$5),"◆","")</f>
        <v/>
      </c>
      <c r="T29" s="11" t="str">
        <f aca="false">IF(AND($B29="Milestone",$C29&lt;=T$5+6,$D29&gt;=T$5),"◆","")</f>
        <v/>
      </c>
      <c r="U29" s="11" t="str">
        <f aca="false">IF(AND($B29="Milestone",$C29&lt;=U$5+6,$D29&gt;=U$5),"◆","")</f>
        <v/>
      </c>
      <c r="V29" s="11" t="str">
        <f aca="false">IF(AND($B29="Milestone",$C29&lt;=V$5+6,$D29&gt;=V$5),"◆","")</f>
        <v/>
      </c>
      <c r="W29" s="11" t="str">
        <f aca="false">IF(AND($B29="Milestone",$C29&lt;=W$5+6,$D29&gt;=W$5),"◆","")</f>
        <v/>
      </c>
      <c r="X29" s="11" t="str">
        <f aca="false">IF(AND($B29="Milestone",$C29&lt;=X$5+6,$D29&gt;=X$5),"◆","")</f>
        <v/>
      </c>
      <c r="Y29" s="11" t="str">
        <f aca="false">IF(AND($B29="Milestone",$C29&lt;=Y$5+6,$D29&gt;=Y$5),"◆","")</f>
        <v/>
      </c>
      <c r="Z29" s="11" t="str">
        <f aca="false">IF(AND($B29="Milestone",$C29&lt;=Z$5+6,$D29&gt;=Z$5),"◆","")</f>
        <v/>
      </c>
      <c r="AA29" s="11" t="str">
        <f aca="false">IF(AND($B29="Milestone",$C29&lt;=AA$5+6,$D29&gt;=AA$5),"◆","")</f>
        <v/>
      </c>
      <c r="AB29" s="11" t="str">
        <f aca="false">IF(AND($B29="Milestone",$C29&lt;=AB$5+6,$D29&gt;=AB$5),"◆","")</f>
        <v/>
      </c>
      <c r="AC29" s="11" t="str">
        <f aca="false">IF(AND($B29="Milestone",$C29&lt;=AC$5+6,$D29&gt;=AC$5),"◆","")</f>
        <v/>
      </c>
      <c r="AD29" s="11" t="str">
        <f aca="false">IF(AND($B29="Milestone",$C29&lt;=AD$5+6,$D29&gt;=AD$5),"◆","")</f>
        <v/>
      </c>
      <c r="AE29" s="11" t="str">
        <f aca="false">IF(AND($B29="Milestone",$C29&lt;=AE$5+6,$D29&gt;=AE$5),"◆","")</f>
        <v/>
      </c>
      <c r="AF29" s="11" t="str">
        <f aca="false">IF(AND($B29="Milestone",$C29&lt;=AF$5+6,$D29&gt;=AF$5),"◆","")</f>
        <v/>
      </c>
      <c r="AG29" s="11" t="str">
        <f aca="false">IF(AND($B29="Milestone",$C29&lt;=AG$5+6,$D29&gt;=AG$5),"◆","")</f>
        <v/>
      </c>
      <c r="AH29" s="11" t="str">
        <f aca="false">IF(AND($B29="Milestone",$C29&lt;=AH$5+6,$D29&gt;=AH$5),"◆","")</f>
        <v/>
      </c>
    </row>
    <row r="30" customFormat="false" ht="15" hidden="false" customHeight="false" outlineLevel="0" collapsed="false">
      <c r="A30" s="9" t="s">
        <v>67</v>
      </c>
      <c r="B30" s="9" t="s">
        <v>3</v>
      </c>
      <c r="C30" s="10" t="n">
        <v>46370</v>
      </c>
      <c r="D30" s="10" t="n">
        <v>46390</v>
      </c>
      <c r="E30" s="9" t="s">
        <v>14</v>
      </c>
      <c r="F30" s="9" t="s">
        <v>68</v>
      </c>
      <c r="G30" s="9" t="s">
        <v>69</v>
      </c>
      <c r="H30" s="11" t="str">
        <f aca="false">IF(AND($B30="Milestone",$C30&lt;=H$5+6,$D30&gt;=H$5),"◆","")</f>
        <v/>
      </c>
      <c r="I30" s="11" t="str">
        <f aca="false">IF(AND($B30="Milestone",$C30&lt;=I$5+6,$D30&gt;=I$5),"◆","")</f>
        <v/>
      </c>
      <c r="J30" s="11" t="str">
        <f aca="false">IF(AND($B30="Milestone",$C30&lt;=J$5+6,$D30&gt;=J$5),"◆","")</f>
        <v/>
      </c>
      <c r="K30" s="11" t="str">
        <f aca="false">IF(AND($B30="Milestone",$C30&lt;=K$5+6,$D30&gt;=K$5),"◆","")</f>
        <v/>
      </c>
      <c r="L30" s="11" t="str">
        <f aca="false">IF(AND($B30="Milestone",$C30&lt;=L$5+6,$D30&gt;=L$5),"◆","")</f>
        <v/>
      </c>
      <c r="M30" s="11" t="str">
        <f aca="false">IF(AND($B30="Milestone",$C30&lt;=M$5+6,$D30&gt;=M$5),"◆","")</f>
        <v/>
      </c>
      <c r="N30" s="11" t="str">
        <f aca="false">IF(AND($B30="Milestone",$C30&lt;=N$5+6,$D30&gt;=N$5),"◆","")</f>
        <v/>
      </c>
      <c r="O30" s="11" t="str">
        <f aca="false">IF(AND($B30="Milestone",$C30&lt;=O$5+6,$D30&gt;=O$5),"◆","")</f>
        <v/>
      </c>
      <c r="P30" s="11" t="str">
        <f aca="false">IF(AND($B30="Milestone",$C30&lt;=P$5+6,$D30&gt;=P$5),"◆","")</f>
        <v/>
      </c>
      <c r="Q30" s="11" t="str">
        <f aca="false">IF(AND($B30="Milestone",$C30&lt;=Q$5+6,$D30&gt;=Q$5),"◆","")</f>
        <v/>
      </c>
      <c r="R30" s="11" t="str">
        <f aca="false">IF(AND($B30="Milestone",$C30&lt;=R$5+6,$D30&gt;=R$5),"◆","")</f>
        <v/>
      </c>
      <c r="S30" s="11" t="str">
        <f aca="false">IF(AND($B30="Milestone",$C30&lt;=S$5+6,$D30&gt;=S$5),"◆","")</f>
        <v/>
      </c>
      <c r="T30" s="11" t="str">
        <f aca="false">IF(AND($B30="Milestone",$C30&lt;=T$5+6,$D30&gt;=T$5),"◆","")</f>
        <v/>
      </c>
      <c r="U30" s="11" t="str">
        <f aca="false">IF(AND($B30="Milestone",$C30&lt;=U$5+6,$D30&gt;=U$5),"◆","")</f>
        <v/>
      </c>
      <c r="V30" s="11" t="str">
        <f aca="false">IF(AND($B30="Milestone",$C30&lt;=V$5+6,$D30&gt;=V$5),"◆","")</f>
        <v/>
      </c>
      <c r="W30" s="11" t="str">
        <f aca="false">IF(AND($B30="Milestone",$C30&lt;=W$5+6,$D30&gt;=W$5),"◆","")</f>
        <v/>
      </c>
      <c r="X30" s="11" t="str">
        <f aca="false">IF(AND($B30="Milestone",$C30&lt;=X$5+6,$D30&gt;=X$5),"◆","")</f>
        <v/>
      </c>
      <c r="Y30" s="11" t="str">
        <f aca="false">IF(AND($B30="Milestone",$C30&lt;=Y$5+6,$D30&gt;=Y$5),"◆","")</f>
        <v/>
      </c>
      <c r="Z30" s="11" t="str">
        <f aca="false">IF(AND($B30="Milestone",$C30&lt;=Z$5+6,$D30&gt;=Z$5),"◆","")</f>
        <v/>
      </c>
      <c r="AA30" s="11" t="str">
        <f aca="false">IF(AND($B30="Milestone",$C30&lt;=AA$5+6,$D30&gt;=AA$5),"◆","")</f>
        <v/>
      </c>
      <c r="AB30" s="11" t="str">
        <f aca="false">IF(AND($B30="Milestone",$C30&lt;=AB$5+6,$D30&gt;=AB$5),"◆","")</f>
        <v/>
      </c>
      <c r="AC30" s="11" t="str">
        <f aca="false">IF(AND($B30="Milestone",$C30&lt;=AC$5+6,$D30&gt;=AC$5),"◆","")</f>
        <v/>
      </c>
      <c r="AD30" s="11" t="str">
        <f aca="false">IF(AND($B30="Milestone",$C30&lt;=AD$5+6,$D30&gt;=AD$5),"◆","")</f>
        <v/>
      </c>
      <c r="AE30" s="11" t="str">
        <f aca="false">IF(AND($B30="Milestone",$C30&lt;=AE$5+6,$D30&gt;=AE$5),"◆","")</f>
        <v/>
      </c>
      <c r="AF30" s="11" t="str">
        <f aca="false">IF(AND($B30="Milestone",$C30&lt;=AF$5+6,$D30&gt;=AF$5),"◆","")</f>
        <v/>
      </c>
      <c r="AG30" s="11" t="str">
        <f aca="false">IF(AND($B30="Milestone",$C30&lt;=AG$5+6,$D30&gt;=AG$5),"◆","")</f>
        <v/>
      </c>
      <c r="AH30" s="11" t="str">
        <f aca="false">IF(AND($B30="Milestone",$C30&lt;=AH$5+6,$D30&gt;=AH$5),"◆","")</f>
        <v/>
      </c>
    </row>
    <row r="31" customFormat="false" ht="15" hidden="false" customHeight="false" outlineLevel="0" collapsed="false">
      <c r="A31" s="9" t="s">
        <v>70</v>
      </c>
      <c r="B31" s="9" t="s">
        <v>3</v>
      </c>
      <c r="C31" s="10" t="n">
        <v>46384</v>
      </c>
      <c r="D31" s="10" t="n">
        <v>46404</v>
      </c>
      <c r="E31" s="9" t="s">
        <v>14</v>
      </c>
      <c r="F31" s="9" t="s">
        <v>71</v>
      </c>
      <c r="G31" s="9" t="s">
        <v>72</v>
      </c>
      <c r="H31" s="11" t="str">
        <f aca="false">IF(AND($B31="Milestone",$C31&lt;=H$5+6,$D31&gt;=H$5),"◆","")</f>
        <v/>
      </c>
      <c r="I31" s="11" t="str">
        <f aca="false">IF(AND($B31="Milestone",$C31&lt;=I$5+6,$D31&gt;=I$5),"◆","")</f>
        <v/>
      </c>
      <c r="J31" s="11" t="str">
        <f aca="false">IF(AND($B31="Milestone",$C31&lt;=J$5+6,$D31&gt;=J$5),"◆","")</f>
        <v/>
      </c>
      <c r="K31" s="11" t="str">
        <f aca="false">IF(AND($B31="Milestone",$C31&lt;=K$5+6,$D31&gt;=K$5),"◆","")</f>
        <v/>
      </c>
      <c r="L31" s="11" t="str">
        <f aca="false">IF(AND($B31="Milestone",$C31&lt;=L$5+6,$D31&gt;=L$5),"◆","")</f>
        <v/>
      </c>
      <c r="M31" s="11" t="str">
        <f aca="false">IF(AND($B31="Milestone",$C31&lt;=M$5+6,$D31&gt;=M$5),"◆","")</f>
        <v/>
      </c>
      <c r="N31" s="11" t="str">
        <f aca="false">IF(AND($B31="Milestone",$C31&lt;=N$5+6,$D31&gt;=N$5),"◆","")</f>
        <v/>
      </c>
      <c r="O31" s="11" t="str">
        <f aca="false">IF(AND($B31="Milestone",$C31&lt;=O$5+6,$D31&gt;=O$5),"◆","")</f>
        <v/>
      </c>
      <c r="P31" s="11" t="str">
        <f aca="false">IF(AND($B31="Milestone",$C31&lt;=P$5+6,$D31&gt;=P$5),"◆","")</f>
        <v/>
      </c>
      <c r="Q31" s="11" t="str">
        <f aca="false">IF(AND($B31="Milestone",$C31&lt;=Q$5+6,$D31&gt;=Q$5),"◆","")</f>
        <v/>
      </c>
      <c r="R31" s="11" t="str">
        <f aca="false">IF(AND($B31="Milestone",$C31&lt;=R$5+6,$D31&gt;=R$5),"◆","")</f>
        <v/>
      </c>
      <c r="S31" s="11" t="str">
        <f aca="false">IF(AND($B31="Milestone",$C31&lt;=S$5+6,$D31&gt;=S$5),"◆","")</f>
        <v/>
      </c>
      <c r="T31" s="11" t="str">
        <f aca="false">IF(AND($B31="Milestone",$C31&lt;=T$5+6,$D31&gt;=T$5),"◆","")</f>
        <v/>
      </c>
      <c r="U31" s="11" t="str">
        <f aca="false">IF(AND($B31="Milestone",$C31&lt;=U$5+6,$D31&gt;=U$5),"◆","")</f>
        <v/>
      </c>
      <c r="V31" s="11" t="str">
        <f aca="false">IF(AND($B31="Milestone",$C31&lt;=V$5+6,$D31&gt;=V$5),"◆","")</f>
        <v/>
      </c>
      <c r="W31" s="11" t="str">
        <f aca="false">IF(AND($B31="Milestone",$C31&lt;=W$5+6,$D31&gt;=W$5),"◆","")</f>
        <v/>
      </c>
      <c r="X31" s="11" t="str">
        <f aca="false">IF(AND($B31="Milestone",$C31&lt;=X$5+6,$D31&gt;=X$5),"◆","")</f>
        <v/>
      </c>
      <c r="Y31" s="11" t="str">
        <f aca="false">IF(AND($B31="Milestone",$C31&lt;=Y$5+6,$D31&gt;=Y$5),"◆","")</f>
        <v/>
      </c>
      <c r="Z31" s="11" t="str">
        <f aca="false">IF(AND($B31="Milestone",$C31&lt;=Z$5+6,$D31&gt;=Z$5),"◆","")</f>
        <v/>
      </c>
      <c r="AA31" s="11" t="str">
        <f aca="false">IF(AND($B31="Milestone",$C31&lt;=AA$5+6,$D31&gt;=AA$5),"◆","")</f>
        <v/>
      </c>
      <c r="AB31" s="11" t="str">
        <f aca="false">IF(AND($B31="Milestone",$C31&lt;=AB$5+6,$D31&gt;=AB$5),"◆","")</f>
        <v/>
      </c>
      <c r="AC31" s="11" t="str">
        <f aca="false">IF(AND($B31="Milestone",$C31&lt;=AC$5+6,$D31&gt;=AC$5),"◆","")</f>
        <v/>
      </c>
      <c r="AD31" s="11" t="str">
        <f aca="false">IF(AND($B31="Milestone",$C31&lt;=AD$5+6,$D31&gt;=AD$5),"◆","")</f>
        <v/>
      </c>
      <c r="AE31" s="11" t="str">
        <f aca="false">IF(AND($B31="Milestone",$C31&lt;=AE$5+6,$D31&gt;=AE$5),"◆","")</f>
        <v/>
      </c>
      <c r="AF31" s="11" t="str">
        <f aca="false">IF(AND($B31="Milestone",$C31&lt;=AF$5+6,$D31&gt;=AF$5),"◆","")</f>
        <v/>
      </c>
      <c r="AG31" s="11" t="str">
        <f aca="false">IF(AND($B31="Milestone",$C31&lt;=AG$5+6,$D31&gt;=AG$5),"◆","")</f>
        <v/>
      </c>
      <c r="AH31" s="11" t="str">
        <f aca="false">IF(AND($B31="Milestone",$C31&lt;=AH$5+6,$D31&gt;=AH$5),"◆","")</f>
        <v/>
      </c>
    </row>
    <row r="32" customFormat="false" ht="15" hidden="false" customHeight="false" outlineLevel="0" collapsed="false">
      <c r="A32" s="9" t="s">
        <v>73</v>
      </c>
      <c r="B32" s="9" t="s">
        <v>3</v>
      </c>
      <c r="C32" s="10" t="n">
        <v>46391</v>
      </c>
      <c r="D32" s="10" t="n">
        <v>46411</v>
      </c>
      <c r="E32" s="9" t="s">
        <v>14</v>
      </c>
      <c r="F32" s="9" t="s">
        <v>74</v>
      </c>
      <c r="G32" s="9" t="s">
        <v>75</v>
      </c>
      <c r="H32" s="11" t="str">
        <f aca="false">IF(AND($B32="Milestone",$C32&lt;=H$5+6,$D32&gt;=H$5),"◆","")</f>
        <v/>
      </c>
      <c r="I32" s="11" t="str">
        <f aca="false">IF(AND($B32="Milestone",$C32&lt;=I$5+6,$D32&gt;=I$5),"◆","")</f>
        <v/>
      </c>
      <c r="J32" s="11" t="str">
        <f aca="false">IF(AND($B32="Milestone",$C32&lt;=J$5+6,$D32&gt;=J$5),"◆","")</f>
        <v/>
      </c>
      <c r="K32" s="11" t="str">
        <f aca="false">IF(AND($B32="Milestone",$C32&lt;=K$5+6,$D32&gt;=K$5),"◆","")</f>
        <v/>
      </c>
      <c r="L32" s="11" t="str">
        <f aca="false">IF(AND($B32="Milestone",$C32&lt;=L$5+6,$D32&gt;=L$5),"◆","")</f>
        <v/>
      </c>
      <c r="M32" s="11" t="str">
        <f aca="false">IF(AND($B32="Milestone",$C32&lt;=M$5+6,$D32&gt;=M$5),"◆","")</f>
        <v/>
      </c>
      <c r="N32" s="11" t="str">
        <f aca="false">IF(AND($B32="Milestone",$C32&lt;=N$5+6,$D32&gt;=N$5),"◆","")</f>
        <v/>
      </c>
      <c r="O32" s="11" t="str">
        <f aca="false">IF(AND($B32="Milestone",$C32&lt;=O$5+6,$D32&gt;=O$5),"◆","")</f>
        <v/>
      </c>
      <c r="P32" s="11" t="str">
        <f aca="false">IF(AND($B32="Milestone",$C32&lt;=P$5+6,$D32&gt;=P$5),"◆","")</f>
        <v/>
      </c>
      <c r="Q32" s="11" t="str">
        <f aca="false">IF(AND($B32="Milestone",$C32&lt;=Q$5+6,$D32&gt;=Q$5),"◆","")</f>
        <v/>
      </c>
      <c r="R32" s="11" t="str">
        <f aca="false">IF(AND($B32="Milestone",$C32&lt;=R$5+6,$D32&gt;=R$5),"◆","")</f>
        <v/>
      </c>
      <c r="S32" s="11" t="str">
        <f aca="false">IF(AND($B32="Milestone",$C32&lt;=S$5+6,$D32&gt;=S$5),"◆","")</f>
        <v/>
      </c>
      <c r="T32" s="11" t="str">
        <f aca="false">IF(AND($B32="Milestone",$C32&lt;=T$5+6,$D32&gt;=T$5),"◆","")</f>
        <v/>
      </c>
      <c r="U32" s="11" t="str">
        <f aca="false">IF(AND($B32="Milestone",$C32&lt;=U$5+6,$D32&gt;=U$5),"◆","")</f>
        <v/>
      </c>
      <c r="V32" s="11" t="str">
        <f aca="false">IF(AND($B32="Milestone",$C32&lt;=V$5+6,$D32&gt;=V$5),"◆","")</f>
        <v/>
      </c>
      <c r="W32" s="11" t="str">
        <f aca="false">IF(AND($B32="Milestone",$C32&lt;=W$5+6,$D32&gt;=W$5),"◆","")</f>
        <v/>
      </c>
      <c r="X32" s="11" t="str">
        <f aca="false">IF(AND($B32="Milestone",$C32&lt;=X$5+6,$D32&gt;=X$5),"◆","")</f>
        <v/>
      </c>
      <c r="Y32" s="11" t="str">
        <f aca="false">IF(AND($B32="Milestone",$C32&lt;=Y$5+6,$D32&gt;=Y$5),"◆","")</f>
        <v/>
      </c>
      <c r="Z32" s="11" t="str">
        <f aca="false">IF(AND($B32="Milestone",$C32&lt;=Z$5+6,$D32&gt;=Z$5),"◆","")</f>
        <v/>
      </c>
      <c r="AA32" s="11" t="str">
        <f aca="false">IF(AND($B32="Milestone",$C32&lt;=AA$5+6,$D32&gt;=AA$5),"◆","")</f>
        <v/>
      </c>
      <c r="AB32" s="11" t="str">
        <f aca="false">IF(AND($B32="Milestone",$C32&lt;=AB$5+6,$D32&gt;=AB$5),"◆","")</f>
        <v/>
      </c>
      <c r="AC32" s="11" t="str">
        <f aca="false">IF(AND($B32="Milestone",$C32&lt;=AC$5+6,$D32&gt;=AC$5),"◆","")</f>
        <v/>
      </c>
      <c r="AD32" s="11" t="str">
        <f aca="false">IF(AND($B32="Milestone",$C32&lt;=AD$5+6,$D32&gt;=AD$5),"◆","")</f>
        <v/>
      </c>
      <c r="AE32" s="11" t="str">
        <f aca="false">IF(AND($B32="Milestone",$C32&lt;=AE$5+6,$D32&gt;=AE$5),"◆","")</f>
        <v/>
      </c>
      <c r="AF32" s="11" t="str">
        <f aca="false">IF(AND($B32="Milestone",$C32&lt;=AF$5+6,$D32&gt;=AF$5),"◆","")</f>
        <v/>
      </c>
      <c r="AG32" s="11" t="str">
        <f aca="false">IF(AND($B32="Milestone",$C32&lt;=AG$5+6,$D32&gt;=AG$5),"◆","")</f>
        <v/>
      </c>
      <c r="AH32" s="11" t="str">
        <f aca="false">IF(AND($B32="Milestone",$C32&lt;=AH$5+6,$D32&gt;=AH$5),"◆","")</f>
        <v/>
      </c>
    </row>
    <row r="33" customFormat="false" ht="15" hidden="false" customHeight="false" outlineLevel="0" collapsed="false">
      <c r="A33" s="9" t="s">
        <v>76</v>
      </c>
      <c r="B33" s="9" t="s">
        <v>3</v>
      </c>
      <c r="C33" s="10" t="n">
        <v>46398</v>
      </c>
      <c r="D33" s="10" t="n">
        <v>46416</v>
      </c>
      <c r="E33" s="9" t="s">
        <v>14</v>
      </c>
      <c r="F33" s="9" t="s">
        <v>77</v>
      </c>
      <c r="G33" s="9" t="s">
        <v>78</v>
      </c>
      <c r="H33" s="11" t="str">
        <f aca="false">IF(AND($B33="Milestone",$C33&lt;=H$5+6,$D33&gt;=H$5),"◆","")</f>
        <v/>
      </c>
      <c r="I33" s="11" t="str">
        <f aca="false">IF(AND($B33="Milestone",$C33&lt;=I$5+6,$D33&gt;=I$5),"◆","")</f>
        <v/>
      </c>
      <c r="J33" s="11" t="str">
        <f aca="false">IF(AND($B33="Milestone",$C33&lt;=J$5+6,$D33&gt;=J$5),"◆","")</f>
        <v/>
      </c>
      <c r="K33" s="11" t="str">
        <f aca="false">IF(AND($B33="Milestone",$C33&lt;=K$5+6,$D33&gt;=K$5),"◆","")</f>
        <v/>
      </c>
      <c r="L33" s="11" t="str">
        <f aca="false">IF(AND($B33="Milestone",$C33&lt;=L$5+6,$D33&gt;=L$5),"◆","")</f>
        <v/>
      </c>
      <c r="M33" s="11" t="str">
        <f aca="false">IF(AND($B33="Milestone",$C33&lt;=M$5+6,$D33&gt;=M$5),"◆","")</f>
        <v/>
      </c>
      <c r="N33" s="11" t="str">
        <f aca="false">IF(AND($B33="Milestone",$C33&lt;=N$5+6,$D33&gt;=N$5),"◆","")</f>
        <v/>
      </c>
      <c r="O33" s="11" t="str">
        <f aca="false">IF(AND($B33="Milestone",$C33&lt;=O$5+6,$D33&gt;=O$5),"◆","")</f>
        <v/>
      </c>
      <c r="P33" s="11" t="str">
        <f aca="false">IF(AND($B33="Milestone",$C33&lt;=P$5+6,$D33&gt;=P$5),"◆","")</f>
        <v/>
      </c>
      <c r="Q33" s="11" t="str">
        <f aca="false">IF(AND($B33="Milestone",$C33&lt;=Q$5+6,$D33&gt;=Q$5),"◆","")</f>
        <v/>
      </c>
      <c r="R33" s="11" t="str">
        <f aca="false">IF(AND($B33="Milestone",$C33&lt;=R$5+6,$D33&gt;=R$5),"◆","")</f>
        <v/>
      </c>
      <c r="S33" s="11" t="str">
        <f aca="false">IF(AND($B33="Milestone",$C33&lt;=S$5+6,$D33&gt;=S$5),"◆","")</f>
        <v/>
      </c>
      <c r="T33" s="11" t="str">
        <f aca="false">IF(AND($B33="Milestone",$C33&lt;=T$5+6,$D33&gt;=T$5),"◆","")</f>
        <v/>
      </c>
      <c r="U33" s="11" t="str">
        <f aca="false">IF(AND($B33="Milestone",$C33&lt;=U$5+6,$D33&gt;=U$5),"◆","")</f>
        <v/>
      </c>
      <c r="V33" s="11" t="str">
        <f aca="false">IF(AND($B33="Milestone",$C33&lt;=V$5+6,$D33&gt;=V$5),"◆","")</f>
        <v/>
      </c>
      <c r="W33" s="11" t="str">
        <f aca="false">IF(AND($B33="Milestone",$C33&lt;=W$5+6,$D33&gt;=W$5),"◆","")</f>
        <v/>
      </c>
      <c r="X33" s="11" t="str">
        <f aca="false">IF(AND($B33="Milestone",$C33&lt;=X$5+6,$D33&gt;=X$5),"◆","")</f>
        <v/>
      </c>
      <c r="Y33" s="11" t="str">
        <f aca="false">IF(AND($B33="Milestone",$C33&lt;=Y$5+6,$D33&gt;=Y$5),"◆","")</f>
        <v/>
      </c>
      <c r="Z33" s="11" t="str">
        <f aca="false">IF(AND($B33="Milestone",$C33&lt;=Z$5+6,$D33&gt;=Z$5),"◆","")</f>
        <v/>
      </c>
      <c r="AA33" s="11" t="str">
        <f aca="false">IF(AND($B33="Milestone",$C33&lt;=AA$5+6,$D33&gt;=AA$5),"◆","")</f>
        <v/>
      </c>
      <c r="AB33" s="11" t="str">
        <f aca="false">IF(AND($B33="Milestone",$C33&lt;=AB$5+6,$D33&gt;=AB$5),"◆","")</f>
        <v/>
      </c>
      <c r="AC33" s="11" t="str">
        <f aca="false">IF(AND($B33="Milestone",$C33&lt;=AC$5+6,$D33&gt;=AC$5),"◆","")</f>
        <v/>
      </c>
      <c r="AD33" s="11" t="str">
        <f aca="false">IF(AND($B33="Milestone",$C33&lt;=AD$5+6,$D33&gt;=AD$5),"◆","")</f>
        <v/>
      </c>
      <c r="AE33" s="11" t="str">
        <f aca="false">IF(AND($B33="Milestone",$C33&lt;=AE$5+6,$D33&gt;=AE$5),"◆","")</f>
        <v/>
      </c>
      <c r="AF33" s="11" t="str">
        <f aca="false">IF(AND($B33="Milestone",$C33&lt;=AF$5+6,$D33&gt;=AF$5),"◆","")</f>
        <v/>
      </c>
      <c r="AG33" s="11" t="str">
        <f aca="false">IF(AND($B33="Milestone",$C33&lt;=AG$5+6,$D33&gt;=AG$5),"◆","")</f>
        <v/>
      </c>
      <c r="AH33" s="11" t="str">
        <f aca="false">IF(AND($B33="Milestone",$C33&lt;=AH$5+6,$D33&gt;=AH$5),"◆","")</f>
        <v/>
      </c>
    </row>
    <row r="34" customFormat="false" ht="15" hidden="false" customHeight="false" outlineLevel="0" collapsed="false">
      <c r="A34" s="9" t="s">
        <v>79</v>
      </c>
      <c r="B34" s="9" t="s">
        <v>3</v>
      </c>
      <c r="C34" s="10" t="n">
        <v>46405</v>
      </c>
      <c r="D34" s="10" t="n">
        <v>46418</v>
      </c>
      <c r="E34" s="9" t="s">
        <v>14</v>
      </c>
      <c r="F34" s="9" t="s">
        <v>77</v>
      </c>
      <c r="G34" s="9" t="s">
        <v>80</v>
      </c>
      <c r="H34" s="11" t="str">
        <f aca="false">IF(AND($B34="Milestone",$C34&lt;=H$5+6,$D34&gt;=H$5),"◆","")</f>
        <v/>
      </c>
      <c r="I34" s="11" t="str">
        <f aca="false">IF(AND($B34="Milestone",$C34&lt;=I$5+6,$D34&gt;=I$5),"◆","")</f>
        <v/>
      </c>
      <c r="J34" s="11" t="str">
        <f aca="false">IF(AND($B34="Milestone",$C34&lt;=J$5+6,$D34&gt;=J$5),"◆","")</f>
        <v/>
      </c>
      <c r="K34" s="11" t="str">
        <f aca="false">IF(AND($B34="Milestone",$C34&lt;=K$5+6,$D34&gt;=K$5),"◆","")</f>
        <v/>
      </c>
      <c r="L34" s="11" t="str">
        <f aca="false">IF(AND($B34="Milestone",$C34&lt;=L$5+6,$D34&gt;=L$5),"◆","")</f>
        <v/>
      </c>
      <c r="M34" s="11" t="str">
        <f aca="false">IF(AND($B34="Milestone",$C34&lt;=M$5+6,$D34&gt;=M$5),"◆","")</f>
        <v/>
      </c>
      <c r="N34" s="11" t="str">
        <f aca="false">IF(AND($B34="Milestone",$C34&lt;=N$5+6,$D34&gt;=N$5),"◆","")</f>
        <v/>
      </c>
      <c r="O34" s="11" t="str">
        <f aca="false">IF(AND($B34="Milestone",$C34&lt;=O$5+6,$D34&gt;=O$5),"◆","")</f>
        <v/>
      </c>
      <c r="P34" s="11" t="str">
        <f aca="false">IF(AND($B34="Milestone",$C34&lt;=P$5+6,$D34&gt;=P$5),"◆","")</f>
        <v/>
      </c>
      <c r="Q34" s="11" t="str">
        <f aca="false">IF(AND($B34="Milestone",$C34&lt;=Q$5+6,$D34&gt;=Q$5),"◆","")</f>
        <v/>
      </c>
      <c r="R34" s="11" t="str">
        <f aca="false">IF(AND($B34="Milestone",$C34&lt;=R$5+6,$D34&gt;=R$5),"◆","")</f>
        <v/>
      </c>
      <c r="S34" s="11" t="str">
        <f aca="false">IF(AND($B34="Milestone",$C34&lt;=S$5+6,$D34&gt;=S$5),"◆","")</f>
        <v/>
      </c>
      <c r="T34" s="11" t="str">
        <f aca="false">IF(AND($B34="Milestone",$C34&lt;=T$5+6,$D34&gt;=T$5),"◆","")</f>
        <v/>
      </c>
      <c r="U34" s="11" t="str">
        <f aca="false">IF(AND($B34="Milestone",$C34&lt;=U$5+6,$D34&gt;=U$5),"◆","")</f>
        <v/>
      </c>
      <c r="V34" s="11" t="str">
        <f aca="false">IF(AND($B34="Milestone",$C34&lt;=V$5+6,$D34&gt;=V$5),"◆","")</f>
        <v/>
      </c>
      <c r="W34" s="11" t="str">
        <f aca="false">IF(AND($B34="Milestone",$C34&lt;=W$5+6,$D34&gt;=W$5),"◆","")</f>
        <v/>
      </c>
      <c r="X34" s="11" t="str">
        <f aca="false">IF(AND($B34="Milestone",$C34&lt;=X$5+6,$D34&gt;=X$5),"◆","")</f>
        <v/>
      </c>
      <c r="Y34" s="11" t="str">
        <f aca="false">IF(AND($B34="Milestone",$C34&lt;=Y$5+6,$D34&gt;=Y$5),"◆","")</f>
        <v/>
      </c>
      <c r="Z34" s="11" t="str">
        <f aca="false">IF(AND($B34="Milestone",$C34&lt;=Z$5+6,$D34&gt;=Z$5),"◆","")</f>
        <v/>
      </c>
      <c r="AA34" s="11" t="str">
        <f aca="false">IF(AND($B34="Milestone",$C34&lt;=AA$5+6,$D34&gt;=AA$5),"◆","")</f>
        <v/>
      </c>
      <c r="AB34" s="11" t="str">
        <f aca="false">IF(AND($B34="Milestone",$C34&lt;=AB$5+6,$D34&gt;=AB$5),"◆","")</f>
        <v/>
      </c>
      <c r="AC34" s="11" t="str">
        <f aca="false">IF(AND($B34="Milestone",$C34&lt;=AC$5+6,$D34&gt;=AC$5),"◆","")</f>
        <v/>
      </c>
      <c r="AD34" s="11" t="str">
        <f aca="false">IF(AND($B34="Milestone",$C34&lt;=AD$5+6,$D34&gt;=AD$5),"◆","")</f>
        <v/>
      </c>
      <c r="AE34" s="11" t="str">
        <f aca="false">IF(AND($B34="Milestone",$C34&lt;=AE$5+6,$D34&gt;=AE$5),"◆","")</f>
        <v/>
      </c>
      <c r="AF34" s="11" t="str">
        <f aca="false">IF(AND($B34="Milestone",$C34&lt;=AF$5+6,$D34&gt;=AF$5),"◆","")</f>
        <v/>
      </c>
      <c r="AG34" s="11" t="str">
        <f aca="false">IF(AND($B34="Milestone",$C34&lt;=AG$5+6,$D34&gt;=AG$5),"◆","")</f>
        <v/>
      </c>
      <c r="AH34" s="11" t="str">
        <f aca="false">IF(AND($B34="Milestone",$C34&lt;=AH$5+6,$D34&gt;=AH$5),"◆","")</f>
        <v/>
      </c>
    </row>
    <row r="35" customFormat="false" ht="15" hidden="false" customHeight="false" outlineLevel="0" collapsed="false">
      <c r="A35" s="9" t="s">
        <v>81</v>
      </c>
      <c r="B35" s="9" t="s">
        <v>3</v>
      </c>
      <c r="C35" s="10" t="n">
        <v>46412</v>
      </c>
      <c r="D35" s="10" t="n">
        <v>46419</v>
      </c>
      <c r="E35" s="9" t="s">
        <v>14</v>
      </c>
      <c r="F35" s="9" t="s">
        <v>82</v>
      </c>
      <c r="G35" s="9" t="s">
        <v>83</v>
      </c>
      <c r="H35" s="11" t="str">
        <f aca="false">IF(AND($B35="Milestone",$C35&lt;=H$5+6,$D35&gt;=H$5),"◆","")</f>
        <v/>
      </c>
      <c r="I35" s="11" t="str">
        <f aca="false">IF(AND($B35="Milestone",$C35&lt;=I$5+6,$D35&gt;=I$5),"◆","")</f>
        <v/>
      </c>
      <c r="J35" s="11" t="str">
        <f aca="false">IF(AND($B35="Milestone",$C35&lt;=J$5+6,$D35&gt;=J$5),"◆","")</f>
        <v/>
      </c>
      <c r="K35" s="11" t="str">
        <f aca="false">IF(AND($B35="Milestone",$C35&lt;=K$5+6,$D35&gt;=K$5),"◆","")</f>
        <v/>
      </c>
      <c r="L35" s="11" t="str">
        <f aca="false">IF(AND($B35="Milestone",$C35&lt;=L$5+6,$D35&gt;=L$5),"◆","")</f>
        <v/>
      </c>
      <c r="M35" s="11" t="str">
        <f aca="false">IF(AND($B35="Milestone",$C35&lt;=M$5+6,$D35&gt;=M$5),"◆","")</f>
        <v/>
      </c>
      <c r="N35" s="11" t="str">
        <f aca="false">IF(AND($B35="Milestone",$C35&lt;=N$5+6,$D35&gt;=N$5),"◆","")</f>
        <v/>
      </c>
      <c r="O35" s="11" t="str">
        <f aca="false">IF(AND($B35="Milestone",$C35&lt;=O$5+6,$D35&gt;=O$5),"◆","")</f>
        <v/>
      </c>
      <c r="P35" s="11" t="str">
        <f aca="false">IF(AND($B35="Milestone",$C35&lt;=P$5+6,$D35&gt;=P$5),"◆","")</f>
        <v/>
      </c>
      <c r="Q35" s="11" t="str">
        <f aca="false">IF(AND($B35="Milestone",$C35&lt;=Q$5+6,$D35&gt;=Q$5),"◆","")</f>
        <v/>
      </c>
      <c r="R35" s="11" t="str">
        <f aca="false">IF(AND($B35="Milestone",$C35&lt;=R$5+6,$D35&gt;=R$5),"◆","")</f>
        <v/>
      </c>
      <c r="S35" s="11" t="str">
        <f aca="false">IF(AND($B35="Milestone",$C35&lt;=S$5+6,$D35&gt;=S$5),"◆","")</f>
        <v/>
      </c>
      <c r="T35" s="11" t="str">
        <f aca="false">IF(AND($B35="Milestone",$C35&lt;=T$5+6,$D35&gt;=T$5),"◆","")</f>
        <v/>
      </c>
      <c r="U35" s="11" t="str">
        <f aca="false">IF(AND($B35="Milestone",$C35&lt;=U$5+6,$D35&gt;=U$5),"◆","")</f>
        <v/>
      </c>
      <c r="V35" s="11" t="str">
        <f aca="false">IF(AND($B35="Milestone",$C35&lt;=V$5+6,$D35&gt;=V$5),"◆","")</f>
        <v/>
      </c>
      <c r="W35" s="11" t="str">
        <f aca="false">IF(AND($B35="Milestone",$C35&lt;=W$5+6,$D35&gt;=W$5),"◆","")</f>
        <v/>
      </c>
      <c r="X35" s="11" t="str">
        <f aca="false">IF(AND($B35="Milestone",$C35&lt;=X$5+6,$D35&gt;=X$5),"◆","")</f>
        <v/>
      </c>
      <c r="Y35" s="11" t="str">
        <f aca="false">IF(AND($B35="Milestone",$C35&lt;=Y$5+6,$D35&gt;=Y$5),"◆","")</f>
        <v/>
      </c>
      <c r="Z35" s="11" t="str">
        <f aca="false">IF(AND($B35="Milestone",$C35&lt;=Z$5+6,$D35&gt;=Z$5),"◆","")</f>
        <v/>
      </c>
      <c r="AA35" s="11" t="str">
        <f aca="false">IF(AND($B35="Milestone",$C35&lt;=AA$5+6,$D35&gt;=AA$5),"◆","")</f>
        <v/>
      </c>
      <c r="AB35" s="11" t="str">
        <f aca="false">IF(AND($B35="Milestone",$C35&lt;=AB$5+6,$D35&gt;=AB$5),"◆","")</f>
        <v/>
      </c>
      <c r="AC35" s="11" t="str">
        <f aca="false">IF(AND($B35="Milestone",$C35&lt;=AC$5+6,$D35&gt;=AC$5),"◆","")</f>
        <v/>
      </c>
      <c r="AD35" s="11" t="str">
        <f aca="false">IF(AND($B35="Milestone",$C35&lt;=AD$5+6,$D35&gt;=AD$5),"◆","")</f>
        <v/>
      </c>
      <c r="AE35" s="11" t="str">
        <f aca="false">IF(AND($B35="Milestone",$C35&lt;=AE$5+6,$D35&gt;=AE$5),"◆","")</f>
        <v/>
      </c>
      <c r="AF35" s="11" t="str">
        <f aca="false">IF(AND($B35="Milestone",$C35&lt;=AF$5+6,$D35&gt;=AF$5),"◆","")</f>
        <v/>
      </c>
      <c r="AG35" s="11" t="str">
        <f aca="false">IF(AND($B35="Milestone",$C35&lt;=AG$5+6,$D35&gt;=AG$5),"◆","")</f>
        <v/>
      </c>
      <c r="AH35" s="11" t="str">
        <f aca="false">IF(AND($B35="Milestone",$C35&lt;=AH$5+6,$D35&gt;=AH$5),"◆","")</f>
        <v/>
      </c>
    </row>
    <row r="36" customFormat="false" ht="15" hidden="false" customHeight="false" outlineLevel="0" collapsed="false">
      <c r="A36" s="9" t="s">
        <v>84</v>
      </c>
      <c r="B36" s="9" t="s">
        <v>13</v>
      </c>
      <c r="C36" s="10" t="n">
        <v>46419</v>
      </c>
      <c r="D36" s="10" t="n">
        <v>46419</v>
      </c>
      <c r="E36" s="9" t="s">
        <v>14</v>
      </c>
      <c r="F36" s="9" t="s">
        <v>85</v>
      </c>
      <c r="G36" s="9" t="s">
        <v>86</v>
      </c>
      <c r="H36" s="11" t="str">
        <f aca="false">IF(AND($B36="Milestone",$C36&lt;=H$5+6,$D36&gt;=H$5),"◆","")</f>
        <v/>
      </c>
      <c r="I36" s="11" t="str">
        <f aca="false">IF(AND($B36="Milestone",$C36&lt;=I$5+6,$D36&gt;=I$5),"◆","")</f>
        <v/>
      </c>
      <c r="J36" s="11" t="str">
        <f aca="false">IF(AND($B36="Milestone",$C36&lt;=J$5+6,$D36&gt;=J$5),"◆","")</f>
        <v/>
      </c>
      <c r="K36" s="11" t="str">
        <f aca="false">IF(AND($B36="Milestone",$C36&lt;=K$5+6,$D36&gt;=K$5),"◆","")</f>
        <v/>
      </c>
      <c r="L36" s="11" t="str">
        <f aca="false">IF(AND($B36="Milestone",$C36&lt;=L$5+6,$D36&gt;=L$5),"◆","")</f>
        <v/>
      </c>
      <c r="M36" s="11" t="str">
        <f aca="false">IF(AND($B36="Milestone",$C36&lt;=M$5+6,$D36&gt;=M$5),"◆","")</f>
        <v/>
      </c>
      <c r="N36" s="11" t="str">
        <f aca="false">IF(AND($B36="Milestone",$C36&lt;=N$5+6,$D36&gt;=N$5),"◆","")</f>
        <v/>
      </c>
      <c r="O36" s="11" t="str">
        <f aca="false">IF(AND($B36="Milestone",$C36&lt;=O$5+6,$D36&gt;=O$5),"◆","")</f>
        <v/>
      </c>
      <c r="P36" s="11" t="str">
        <f aca="false">IF(AND($B36="Milestone",$C36&lt;=P$5+6,$D36&gt;=P$5),"◆","")</f>
        <v/>
      </c>
      <c r="Q36" s="11" t="str">
        <f aca="false">IF(AND($B36="Milestone",$C36&lt;=Q$5+6,$D36&gt;=Q$5),"◆","")</f>
        <v/>
      </c>
      <c r="R36" s="11" t="str">
        <f aca="false">IF(AND($B36="Milestone",$C36&lt;=R$5+6,$D36&gt;=R$5),"◆","")</f>
        <v/>
      </c>
      <c r="S36" s="11" t="str">
        <f aca="false">IF(AND($B36="Milestone",$C36&lt;=S$5+6,$D36&gt;=S$5),"◆","")</f>
        <v/>
      </c>
      <c r="T36" s="11" t="str">
        <f aca="false">IF(AND($B36="Milestone",$C36&lt;=T$5+6,$D36&gt;=T$5),"◆","")</f>
        <v/>
      </c>
      <c r="U36" s="11" t="str">
        <f aca="false">IF(AND($B36="Milestone",$C36&lt;=U$5+6,$D36&gt;=U$5),"◆","")</f>
        <v/>
      </c>
      <c r="V36" s="11" t="str">
        <f aca="false">IF(AND($B36="Milestone",$C36&lt;=V$5+6,$D36&gt;=V$5),"◆","")</f>
        <v/>
      </c>
      <c r="W36" s="11" t="str">
        <f aca="false">IF(AND($B36="Milestone",$C36&lt;=W$5+6,$D36&gt;=W$5),"◆","")</f>
        <v/>
      </c>
      <c r="X36" s="11" t="str">
        <f aca="false">IF(AND($B36="Milestone",$C36&lt;=X$5+6,$D36&gt;=X$5),"◆","")</f>
        <v>◆</v>
      </c>
      <c r="Y36" s="11" t="str">
        <f aca="false">IF(AND($B36="Milestone",$C36&lt;=Y$5+6,$D36&gt;=Y$5),"◆","")</f>
        <v/>
      </c>
      <c r="Z36" s="11" t="str">
        <f aca="false">IF(AND($B36="Milestone",$C36&lt;=Z$5+6,$D36&gt;=Z$5),"◆","")</f>
        <v/>
      </c>
      <c r="AA36" s="11" t="str">
        <f aca="false">IF(AND($B36="Milestone",$C36&lt;=AA$5+6,$D36&gt;=AA$5),"◆","")</f>
        <v/>
      </c>
      <c r="AB36" s="11" t="str">
        <f aca="false">IF(AND($B36="Milestone",$C36&lt;=AB$5+6,$D36&gt;=AB$5),"◆","")</f>
        <v/>
      </c>
      <c r="AC36" s="11" t="str">
        <f aca="false">IF(AND($B36="Milestone",$C36&lt;=AC$5+6,$D36&gt;=AC$5),"◆","")</f>
        <v/>
      </c>
      <c r="AD36" s="11" t="str">
        <f aca="false">IF(AND($B36="Milestone",$C36&lt;=AD$5+6,$D36&gt;=AD$5),"◆","")</f>
        <v/>
      </c>
      <c r="AE36" s="11" t="str">
        <f aca="false">IF(AND($B36="Milestone",$C36&lt;=AE$5+6,$D36&gt;=AE$5),"◆","")</f>
        <v/>
      </c>
      <c r="AF36" s="11" t="str">
        <f aca="false">IF(AND($B36="Milestone",$C36&lt;=AF$5+6,$D36&gt;=AF$5),"◆","")</f>
        <v/>
      </c>
      <c r="AG36" s="11" t="str">
        <f aca="false">IF(AND($B36="Milestone",$C36&lt;=AG$5+6,$D36&gt;=AG$5),"◆","")</f>
        <v/>
      </c>
      <c r="AH36" s="11" t="str">
        <f aca="false">IF(AND($B36="Milestone",$C36&lt;=AH$5+6,$D36&gt;=AH$5),"◆","")</f>
        <v/>
      </c>
    </row>
    <row r="37" customFormat="false" ht="15" hidden="false" customHeight="false" outlineLevel="0" collapsed="false">
      <c r="A37" s="9" t="s">
        <v>87</v>
      </c>
      <c r="B37" s="9" t="s">
        <v>3</v>
      </c>
      <c r="C37" s="10" t="n">
        <v>46419</v>
      </c>
      <c r="D37" s="10" t="n">
        <v>46446</v>
      </c>
      <c r="E37" s="9" t="s">
        <v>14</v>
      </c>
      <c r="F37" s="9" t="s">
        <v>83</v>
      </c>
      <c r="G37" s="9" t="s">
        <v>88</v>
      </c>
      <c r="H37" s="11" t="str">
        <f aca="false">IF(AND($B37="Milestone",$C37&lt;=H$5+6,$D37&gt;=H$5),"◆","")</f>
        <v/>
      </c>
      <c r="I37" s="11" t="str">
        <f aca="false">IF(AND($B37="Milestone",$C37&lt;=I$5+6,$D37&gt;=I$5),"◆","")</f>
        <v/>
      </c>
      <c r="J37" s="11" t="str">
        <f aca="false">IF(AND($B37="Milestone",$C37&lt;=J$5+6,$D37&gt;=J$5),"◆","")</f>
        <v/>
      </c>
      <c r="K37" s="11" t="str">
        <f aca="false">IF(AND($B37="Milestone",$C37&lt;=K$5+6,$D37&gt;=K$5),"◆","")</f>
        <v/>
      </c>
      <c r="L37" s="11" t="str">
        <f aca="false">IF(AND($B37="Milestone",$C37&lt;=L$5+6,$D37&gt;=L$5),"◆","")</f>
        <v/>
      </c>
      <c r="M37" s="11" t="str">
        <f aca="false">IF(AND($B37="Milestone",$C37&lt;=M$5+6,$D37&gt;=M$5),"◆","")</f>
        <v/>
      </c>
      <c r="N37" s="11" t="str">
        <f aca="false">IF(AND($B37="Milestone",$C37&lt;=N$5+6,$D37&gt;=N$5),"◆","")</f>
        <v/>
      </c>
      <c r="O37" s="11" t="str">
        <f aca="false">IF(AND($B37="Milestone",$C37&lt;=O$5+6,$D37&gt;=O$5),"◆","")</f>
        <v/>
      </c>
      <c r="P37" s="11" t="str">
        <f aca="false">IF(AND($B37="Milestone",$C37&lt;=P$5+6,$D37&gt;=P$5),"◆","")</f>
        <v/>
      </c>
      <c r="Q37" s="11" t="str">
        <f aca="false">IF(AND($B37="Milestone",$C37&lt;=Q$5+6,$D37&gt;=Q$5),"◆","")</f>
        <v/>
      </c>
      <c r="R37" s="11" t="str">
        <f aca="false">IF(AND($B37="Milestone",$C37&lt;=R$5+6,$D37&gt;=R$5),"◆","")</f>
        <v/>
      </c>
      <c r="S37" s="11" t="str">
        <f aca="false">IF(AND($B37="Milestone",$C37&lt;=S$5+6,$D37&gt;=S$5),"◆","")</f>
        <v/>
      </c>
      <c r="T37" s="11" t="str">
        <f aca="false">IF(AND($B37="Milestone",$C37&lt;=T$5+6,$D37&gt;=T$5),"◆","")</f>
        <v/>
      </c>
      <c r="U37" s="11" t="str">
        <f aca="false">IF(AND($B37="Milestone",$C37&lt;=U$5+6,$D37&gt;=U$5),"◆","")</f>
        <v/>
      </c>
      <c r="V37" s="11" t="str">
        <f aca="false">IF(AND($B37="Milestone",$C37&lt;=V$5+6,$D37&gt;=V$5),"◆","")</f>
        <v/>
      </c>
      <c r="W37" s="11" t="str">
        <f aca="false">IF(AND($B37="Milestone",$C37&lt;=W$5+6,$D37&gt;=W$5),"◆","")</f>
        <v/>
      </c>
      <c r="X37" s="11" t="str">
        <f aca="false">IF(AND($B37="Milestone",$C37&lt;=X$5+6,$D37&gt;=X$5),"◆","")</f>
        <v/>
      </c>
      <c r="Y37" s="11" t="str">
        <f aca="false">IF(AND($B37="Milestone",$C37&lt;=Y$5+6,$D37&gt;=Y$5),"◆","")</f>
        <v/>
      </c>
      <c r="Z37" s="11" t="str">
        <f aca="false">IF(AND($B37="Milestone",$C37&lt;=Z$5+6,$D37&gt;=Z$5),"◆","")</f>
        <v/>
      </c>
      <c r="AA37" s="11" t="str">
        <f aca="false">IF(AND($B37="Milestone",$C37&lt;=AA$5+6,$D37&gt;=AA$5),"◆","")</f>
        <v/>
      </c>
      <c r="AB37" s="11" t="str">
        <f aca="false">IF(AND($B37="Milestone",$C37&lt;=AB$5+6,$D37&gt;=AB$5),"◆","")</f>
        <v/>
      </c>
      <c r="AC37" s="11" t="str">
        <f aca="false">IF(AND($B37="Milestone",$C37&lt;=AC$5+6,$D37&gt;=AC$5),"◆","")</f>
        <v/>
      </c>
      <c r="AD37" s="11" t="str">
        <f aca="false">IF(AND($B37="Milestone",$C37&lt;=AD$5+6,$D37&gt;=AD$5),"◆","")</f>
        <v/>
      </c>
      <c r="AE37" s="11" t="str">
        <f aca="false">IF(AND($B37="Milestone",$C37&lt;=AE$5+6,$D37&gt;=AE$5),"◆","")</f>
        <v/>
      </c>
      <c r="AF37" s="11" t="str">
        <f aca="false">IF(AND($B37="Milestone",$C37&lt;=AF$5+6,$D37&gt;=AF$5),"◆","")</f>
        <v/>
      </c>
      <c r="AG37" s="11" t="str">
        <f aca="false">IF(AND($B37="Milestone",$C37&lt;=AG$5+6,$D37&gt;=AG$5),"◆","")</f>
        <v/>
      </c>
      <c r="AH37" s="11" t="str">
        <f aca="false">IF(AND($B37="Milestone",$C37&lt;=AH$5+6,$D37&gt;=AH$5),"◆","")</f>
        <v/>
      </c>
    </row>
    <row r="38" customFormat="false" ht="15" hidden="false" customHeight="false" outlineLevel="0" collapsed="false">
      <c r="A38" s="9" t="s">
        <v>89</v>
      </c>
      <c r="B38" s="9" t="s">
        <v>3</v>
      </c>
      <c r="C38" s="10" t="n">
        <v>46419</v>
      </c>
      <c r="D38" s="10" t="n">
        <v>46446</v>
      </c>
      <c r="E38" s="9" t="s">
        <v>14</v>
      </c>
      <c r="F38" s="9" t="s">
        <v>83</v>
      </c>
      <c r="G38" s="9" t="s">
        <v>90</v>
      </c>
      <c r="H38" s="11" t="str">
        <f aca="false">IF(AND($B38="Milestone",$C38&lt;=H$5+6,$D38&gt;=H$5),"◆","")</f>
        <v/>
      </c>
      <c r="I38" s="11" t="str">
        <f aca="false">IF(AND($B38="Milestone",$C38&lt;=I$5+6,$D38&gt;=I$5),"◆","")</f>
        <v/>
      </c>
      <c r="J38" s="11" t="str">
        <f aca="false">IF(AND($B38="Milestone",$C38&lt;=J$5+6,$D38&gt;=J$5),"◆","")</f>
        <v/>
      </c>
      <c r="K38" s="11" t="str">
        <f aca="false">IF(AND($B38="Milestone",$C38&lt;=K$5+6,$D38&gt;=K$5),"◆","")</f>
        <v/>
      </c>
      <c r="L38" s="11" t="str">
        <f aca="false">IF(AND($B38="Milestone",$C38&lt;=L$5+6,$D38&gt;=L$5),"◆","")</f>
        <v/>
      </c>
      <c r="M38" s="11" t="str">
        <f aca="false">IF(AND($B38="Milestone",$C38&lt;=M$5+6,$D38&gt;=M$5),"◆","")</f>
        <v/>
      </c>
      <c r="N38" s="11" t="str">
        <f aca="false">IF(AND($B38="Milestone",$C38&lt;=N$5+6,$D38&gt;=N$5),"◆","")</f>
        <v/>
      </c>
      <c r="O38" s="11" t="str">
        <f aca="false">IF(AND($B38="Milestone",$C38&lt;=O$5+6,$D38&gt;=O$5),"◆","")</f>
        <v/>
      </c>
      <c r="P38" s="11" t="str">
        <f aca="false">IF(AND($B38="Milestone",$C38&lt;=P$5+6,$D38&gt;=P$5),"◆","")</f>
        <v/>
      </c>
      <c r="Q38" s="11" t="str">
        <f aca="false">IF(AND($B38="Milestone",$C38&lt;=Q$5+6,$D38&gt;=Q$5),"◆","")</f>
        <v/>
      </c>
      <c r="R38" s="11" t="str">
        <f aca="false">IF(AND($B38="Milestone",$C38&lt;=R$5+6,$D38&gt;=R$5),"◆","")</f>
        <v/>
      </c>
      <c r="S38" s="11" t="str">
        <f aca="false">IF(AND($B38="Milestone",$C38&lt;=S$5+6,$D38&gt;=S$5),"◆","")</f>
        <v/>
      </c>
      <c r="T38" s="11" t="str">
        <f aca="false">IF(AND($B38="Milestone",$C38&lt;=T$5+6,$D38&gt;=T$5),"◆","")</f>
        <v/>
      </c>
      <c r="U38" s="11" t="str">
        <f aca="false">IF(AND($B38="Milestone",$C38&lt;=U$5+6,$D38&gt;=U$5),"◆","")</f>
        <v/>
      </c>
      <c r="V38" s="11" t="str">
        <f aca="false">IF(AND($B38="Milestone",$C38&lt;=V$5+6,$D38&gt;=V$5),"◆","")</f>
        <v/>
      </c>
      <c r="W38" s="11" t="str">
        <f aca="false">IF(AND($B38="Milestone",$C38&lt;=W$5+6,$D38&gt;=W$5),"◆","")</f>
        <v/>
      </c>
      <c r="X38" s="11" t="str">
        <f aca="false">IF(AND($B38="Milestone",$C38&lt;=X$5+6,$D38&gt;=X$5),"◆","")</f>
        <v/>
      </c>
      <c r="Y38" s="11" t="str">
        <f aca="false">IF(AND($B38="Milestone",$C38&lt;=Y$5+6,$D38&gt;=Y$5),"◆","")</f>
        <v/>
      </c>
      <c r="Z38" s="11" t="str">
        <f aca="false">IF(AND($B38="Milestone",$C38&lt;=Z$5+6,$D38&gt;=Z$5),"◆","")</f>
        <v/>
      </c>
      <c r="AA38" s="11" t="str">
        <f aca="false">IF(AND($B38="Milestone",$C38&lt;=AA$5+6,$D38&gt;=AA$5),"◆","")</f>
        <v/>
      </c>
      <c r="AB38" s="11" t="str">
        <f aca="false">IF(AND($B38="Milestone",$C38&lt;=AB$5+6,$D38&gt;=AB$5),"◆","")</f>
        <v/>
      </c>
      <c r="AC38" s="11" t="str">
        <f aca="false">IF(AND($B38="Milestone",$C38&lt;=AC$5+6,$D38&gt;=AC$5),"◆","")</f>
        <v/>
      </c>
      <c r="AD38" s="11" t="str">
        <f aca="false">IF(AND($B38="Milestone",$C38&lt;=AD$5+6,$D38&gt;=AD$5),"◆","")</f>
        <v/>
      </c>
      <c r="AE38" s="11" t="str">
        <f aca="false">IF(AND($B38="Milestone",$C38&lt;=AE$5+6,$D38&gt;=AE$5),"◆","")</f>
        <v/>
      </c>
      <c r="AF38" s="11" t="str">
        <f aca="false">IF(AND($B38="Milestone",$C38&lt;=AF$5+6,$D38&gt;=AF$5),"◆","")</f>
        <v/>
      </c>
      <c r="AG38" s="11" t="str">
        <f aca="false">IF(AND($B38="Milestone",$C38&lt;=AG$5+6,$D38&gt;=AG$5),"◆","")</f>
        <v/>
      </c>
      <c r="AH38" s="11" t="str">
        <f aca="false">IF(AND($B38="Milestone",$C38&lt;=AH$5+6,$D38&gt;=AH$5),"◆","")</f>
        <v/>
      </c>
    </row>
    <row r="39" customFormat="false" ht="15" hidden="false" customHeight="false" outlineLevel="0" collapsed="false">
      <c r="A39" s="9" t="s">
        <v>91</v>
      </c>
      <c r="B39" s="9" t="s">
        <v>3</v>
      </c>
      <c r="C39" s="10" t="n">
        <v>46433</v>
      </c>
      <c r="D39" s="10" t="n">
        <v>46461</v>
      </c>
      <c r="E39" s="9" t="s">
        <v>14</v>
      </c>
      <c r="F39" s="9" t="s">
        <v>92</v>
      </c>
      <c r="G39" s="9" t="s">
        <v>93</v>
      </c>
      <c r="H39" s="11" t="str">
        <f aca="false">IF(AND($B39="Milestone",$C39&lt;=H$5+6,$D39&gt;=H$5),"◆","")</f>
        <v/>
      </c>
      <c r="I39" s="11" t="str">
        <f aca="false">IF(AND($B39="Milestone",$C39&lt;=I$5+6,$D39&gt;=I$5),"◆","")</f>
        <v/>
      </c>
      <c r="J39" s="11" t="str">
        <f aca="false">IF(AND($B39="Milestone",$C39&lt;=J$5+6,$D39&gt;=J$5),"◆","")</f>
        <v/>
      </c>
      <c r="K39" s="11" t="str">
        <f aca="false">IF(AND($B39="Milestone",$C39&lt;=K$5+6,$D39&gt;=K$5),"◆","")</f>
        <v/>
      </c>
      <c r="L39" s="11" t="str">
        <f aca="false">IF(AND($B39="Milestone",$C39&lt;=L$5+6,$D39&gt;=L$5),"◆","")</f>
        <v/>
      </c>
      <c r="M39" s="11" t="str">
        <f aca="false">IF(AND($B39="Milestone",$C39&lt;=M$5+6,$D39&gt;=M$5),"◆","")</f>
        <v/>
      </c>
      <c r="N39" s="11" t="str">
        <f aca="false">IF(AND($B39="Milestone",$C39&lt;=N$5+6,$D39&gt;=N$5),"◆","")</f>
        <v/>
      </c>
      <c r="O39" s="11" t="str">
        <f aca="false">IF(AND($B39="Milestone",$C39&lt;=O$5+6,$D39&gt;=O$5),"◆","")</f>
        <v/>
      </c>
      <c r="P39" s="11" t="str">
        <f aca="false">IF(AND($B39="Milestone",$C39&lt;=P$5+6,$D39&gt;=P$5),"◆","")</f>
        <v/>
      </c>
      <c r="Q39" s="11" t="str">
        <f aca="false">IF(AND($B39="Milestone",$C39&lt;=Q$5+6,$D39&gt;=Q$5),"◆","")</f>
        <v/>
      </c>
      <c r="R39" s="11" t="str">
        <f aca="false">IF(AND($B39="Milestone",$C39&lt;=R$5+6,$D39&gt;=R$5),"◆","")</f>
        <v/>
      </c>
      <c r="S39" s="11" t="str">
        <f aca="false">IF(AND($B39="Milestone",$C39&lt;=S$5+6,$D39&gt;=S$5),"◆","")</f>
        <v/>
      </c>
      <c r="T39" s="11" t="str">
        <f aca="false">IF(AND($B39="Milestone",$C39&lt;=T$5+6,$D39&gt;=T$5),"◆","")</f>
        <v/>
      </c>
      <c r="U39" s="11" t="str">
        <f aca="false">IF(AND($B39="Milestone",$C39&lt;=U$5+6,$D39&gt;=U$5),"◆","")</f>
        <v/>
      </c>
      <c r="V39" s="11" t="str">
        <f aca="false">IF(AND($B39="Milestone",$C39&lt;=V$5+6,$D39&gt;=V$5),"◆","")</f>
        <v/>
      </c>
      <c r="W39" s="11" t="str">
        <f aca="false">IF(AND($B39="Milestone",$C39&lt;=W$5+6,$D39&gt;=W$5),"◆","")</f>
        <v/>
      </c>
      <c r="X39" s="11" t="str">
        <f aca="false">IF(AND($B39="Milestone",$C39&lt;=X$5+6,$D39&gt;=X$5),"◆","")</f>
        <v/>
      </c>
      <c r="Y39" s="11" t="str">
        <f aca="false">IF(AND($B39="Milestone",$C39&lt;=Y$5+6,$D39&gt;=Y$5),"◆","")</f>
        <v/>
      </c>
      <c r="Z39" s="11" t="str">
        <f aca="false">IF(AND($B39="Milestone",$C39&lt;=Z$5+6,$D39&gt;=Z$5),"◆","")</f>
        <v/>
      </c>
      <c r="AA39" s="11" t="str">
        <f aca="false">IF(AND($B39="Milestone",$C39&lt;=AA$5+6,$D39&gt;=AA$5),"◆","")</f>
        <v/>
      </c>
      <c r="AB39" s="11" t="str">
        <f aca="false">IF(AND($B39="Milestone",$C39&lt;=AB$5+6,$D39&gt;=AB$5),"◆","")</f>
        <v/>
      </c>
      <c r="AC39" s="11" t="str">
        <f aca="false">IF(AND($B39="Milestone",$C39&lt;=AC$5+6,$D39&gt;=AC$5),"◆","")</f>
        <v/>
      </c>
      <c r="AD39" s="11" t="str">
        <f aca="false">IF(AND($B39="Milestone",$C39&lt;=AD$5+6,$D39&gt;=AD$5),"◆","")</f>
        <v/>
      </c>
      <c r="AE39" s="11" t="str">
        <f aca="false">IF(AND($B39="Milestone",$C39&lt;=AE$5+6,$D39&gt;=AE$5),"◆","")</f>
        <v/>
      </c>
      <c r="AF39" s="11" t="str">
        <f aca="false">IF(AND($B39="Milestone",$C39&lt;=AF$5+6,$D39&gt;=AF$5),"◆","")</f>
        <v/>
      </c>
      <c r="AG39" s="11" t="str">
        <f aca="false">IF(AND($B39="Milestone",$C39&lt;=AG$5+6,$D39&gt;=AG$5),"◆","")</f>
        <v/>
      </c>
      <c r="AH39" s="11" t="str">
        <f aca="false">IF(AND($B39="Milestone",$C39&lt;=AH$5+6,$D39&gt;=AH$5),"◆","")</f>
        <v/>
      </c>
    </row>
    <row r="40" customFormat="false" ht="15" hidden="false" customHeight="false" outlineLevel="0" collapsed="false">
      <c r="A40" s="9" t="s">
        <v>94</v>
      </c>
      <c r="B40" s="9" t="s">
        <v>3</v>
      </c>
      <c r="C40" s="10" t="n">
        <v>46447</v>
      </c>
      <c r="D40" s="10" t="n">
        <v>46477</v>
      </c>
      <c r="E40" s="9" t="s">
        <v>14</v>
      </c>
      <c r="F40" s="9" t="s">
        <v>95</v>
      </c>
      <c r="G40" s="9" t="s">
        <v>96</v>
      </c>
      <c r="H40" s="11" t="str">
        <f aca="false">IF(AND($B40="Milestone",$C40&lt;=H$5+6,$D40&gt;=H$5),"◆","")</f>
        <v/>
      </c>
      <c r="I40" s="11" t="str">
        <f aca="false">IF(AND($B40="Milestone",$C40&lt;=I$5+6,$D40&gt;=I$5),"◆","")</f>
        <v/>
      </c>
      <c r="J40" s="11" t="str">
        <f aca="false">IF(AND($B40="Milestone",$C40&lt;=J$5+6,$D40&gt;=J$5),"◆","")</f>
        <v/>
      </c>
      <c r="K40" s="11" t="str">
        <f aca="false">IF(AND($B40="Milestone",$C40&lt;=K$5+6,$D40&gt;=K$5),"◆","")</f>
        <v/>
      </c>
      <c r="L40" s="11" t="str">
        <f aca="false">IF(AND($B40="Milestone",$C40&lt;=L$5+6,$D40&gt;=L$5),"◆","")</f>
        <v/>
      </c>
      <c r="M40" s="11" t="str">
        <f aca="false">IF(AND($B40="Milestone",$C40&lt;=M$5+6,$D40&gt;=M$5),"◆","")</f>
        <v/>
      </c>
      <c r="N40" s="11" t="str">
        <f aca="false">IF(AND($B40="Milestone",$C40&lt;=N$5+6,$D40&gt;=N$5),"◆","")</f>
        <v/>
      </c>
      <c r="O40" s="11" t="str">
        <f aca="false">IF(AND($B40="Milestone",$C40&lt;=O$5+6,$D40&gt;=O$5),"◆","")</f>
        <v/>
      </c>
      <c r="P40" s="11" t="str">
        <f aca="false">IF(AND($B40="Milestone",$C40&lt;=P$5+6,$D40&gt;=P$5),"◆","")</f>
        <v/>
      </c>
      <c r="Q40" s="11" t="str">
        <f aca="false">IF(AND($B40="Milestone",$C40&lt;=Q$5+6,$D40&gt;=Q$5),"◆","")</f>
        <v/>
      </c>
      <c r="R40" s="11" t="str">
        <f aca="false">IF(AND($B40="Milestone",$C40&lt;=R$5+6,$D40&gt;=R$5),"◆","")</f>
        <v/>
      </c>
      <c r="S40" s="11" t="str">
        <f aca="false">IF(AND($B40="Milestone",$C40&lt;=S$5+6,$D40&gt;=S$5),"◆","")</f>
        <v/>
      </c>
      <c r="T40" s="11" t="str">
        <f aca="false">IF(AND($B40="Milestone",$C40&lt;=T$5+6,$D40&gt;=T$5),"◆","")</f>
        <v/>
      </c>
      <c r="U40" s="11" t="str">
        <f aca="false">IF(AND($B40="Milestone",$C40&lt;=U$5+6,$D40&gt;=U$5),"◆","")</f>
        <v/>
      </c>
      <c r="V40" s="11" t="str">
        <f aca="false">IF(AND($B40="Milestone",$C40&lt;=V$5+6,$D40&gt;=V$5),"◆","")</f>
        <v/>
      </c>
      <c r="W40" s="11" t="str">
        <f aca="false">IF(AND($B40="Milestone",$C40&lt;=W$5+6,$D40&gt;=W$5),"◆","")</f>
        <v/>
      </c>
      <c r="X40" s="11" t="str">
        <f aca="false">IF(AND($B40="Milestone",$C40&lt;=X$5+6,$D40&gt;=X$5),"◆","")</f>
        <v/>
      </c>
      <c r="Y40" s="11" t="str">
        <f aca="false">IF(AND($B40="Milestone",$C40&lt;=Y$5+6,$D40&gt;=Y$5),"◆","")</f>
        <v/>
      </c>
      <c r="Z40" s="11" t="str">
        <f aca="false">IF(AND($B40="Milestone",$C40&lt;=Z$5+6,$D40&gt;=Z$5),"◆","")</f>
        <v/>
      </c>
      <c r="AA40" s="11" t="str">
        <f aca="false">IF(AND($B40="Milestone",$C40&lt;=AA$5+6,$D40&gt;=AA$5),"◆","")</f>
        <v/>
      </c>
      <c r="AB40" s="11" t="str">
        <f aca="false">IF(AND($B40="Milestone",$C40&lt;=AB$5+6,$D40&gt;=AB$5),"◆","")</f>
        <v/>
      </c>
      <c r="AC40" s="11" t="str">
        <f aca="false">IF(AND($B40="Milestone",$C40&lt;=AC$5+6,$D40&gt;=AC$5),"◆","")</f>
        <v/>
      </c>
      <c r="AD40" s="11" t="str">
        <f aca="false">IF(AND($B40="Milestone",$C40&lt;=AD$5+6,$D40&gt;=AD$5),"◆","")</f>
        <v/>
      </c>
      <c r="AE40" s="11" t="str">
        <f aca="false">IF(AND($B40="Milestone",$C40&lt;=AE$5+6,$D40&gt;=AE$5),"◆","")</f>
        <v/>
      </c>
      <c r="AF40" s="11" t="str">
        <f aca="false">IF(AND($B40="Milestone",$C40&lt;=AF$5+6,$D40&gt;=AF$5),"◆","")</f>
        <v/>
      </c>
      <c r="AG40" s="11" t="str">
        <f aca="false">IF(AND($B40="Milestone",$C40&lt;=AG$5+6,$D40&gt;=AG$5),"◆","")</f>
        <v/>
      </c>
      <c r="AH40" s="11" t="str">
        <f aca="false">IF(AND($B40="Milestone",$C40&lt;=AH$5+6,$D40&gt;=AH$5),"◆","")</f>
        <v/>
      </c>
    </row>
  </sheetData>
  <conditionalFormatting sqref="H6:AH40">
    <cfRule type="expression" priority="2" aboveAverage="0" equalAverage="0" bottom="0" percent="0" rank="0" text="" dxfId="0">
      <formula>AND($B6="Milestone",$C6&lt;=H$5+6,$D6&gt;=H$5)</formula>
    </cfRule>
    <cfRule type="expression" priority="3" aboveAverage="0" equalAverage="0" bottom="0" percent="0" rank="0" text="" dxfId="1">
      <formula>AND($B6="Task",ISNUMBER(SEARCH("stretch",$A6)),$C6&lt;=H$5+6,$D6&gt;=H$5)</formula>
    </cfRule>
    <cfRule type="expression" priority="4" aboveAverage="0" equalAverage="0" bottom="0" percent="0" rank="0" text="" dxfId="2">
      <formula>AND($B6="Task",$C6&lt;=H$5+6,$D6&gt;=H$5)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97</v>
      </c>
    </row>
    <row r="3" customFormat="false" ht="15" hidden="false" customHeight="false" outlineLevel="0" collapsed="false">
      <c r="A3" s="12" t="s">
        <v>98</v>
      </c>
      <c r="B3" s="13" t="s">
        <v>99</v>
      </c>
    </row>
    <row r="4" customFormat="false" ht="15" hidden="false" customHeight="false" outlineLevel="0" collapsed="false">
      <c r="A4" s="14" t="s">
        <v>100</v>
      </c>
      <c r="B4" s="13" t="s">
        <v>101</v>
      </c>
    </row>
    <row r="5" customFormat="false" ht="15" hidden="false" customHeight="false" outlineLevel="0" collapsed="false">
      <c r="A5" s="15" t="s">
        <v>102</v>
      </c>
      <c r="B5" s="13" t="s">
        <v>103</v>
      </c>
    </row>
    <row r="6" customFormat="false" ht="15" hidden="false" customHeight="false" outlineLevel="0" collapsed="false">
      <c r="A6" s="16" t="s">
        <v>104</v>
      </c>
      <c r="B6" s="13" t="s">
        <v>105</v>
      </c>
    </row>
    <row r="9" customFormat="false" ht="31.5" hidden="false" customHeight="true" outlineLevel="0" collapsed="false">
      <c r="A9" s="17" t="s">
        <v>106</v>
      </c>
      <c r="B9" s="17"/>
    </row>
    <row r="10" customFormat="false" ht="31.5" hidden="false" customHeight="true" outlineLevel="0" collapsed="false">
      <c r="A10" s="17" t="s">
        <v>107</v>
      </c>
      <c r="B10" s="17"/>
    </row>
    <row r="11" customFormat="false" ht="31.5" hidden="false" customHeight="true" outlineLevel="0" collapsed="false">
      <c r="A11" s="17" t="s">
        <v>108</v>
      </c>
      <c r="B11" s="17"/>
    </row>
    <row r="12" customFormat="false" ht="31.5" hidden="false" customHeight="true" outlineLevel="0" collapsed="false">
      <c r="A12" s="17" t="s">
        <v>109</v>
      </c>
      <c r="B12" s="17"/>
    </row>
    <row r="13" customFormat="false" ht="31.5" hidden="false" customHeight="true" outlineLevel="0" collapsed="false">
      <c r="A13" s="17" t="s">
        <v>110</v>
      </c>
      <c r="B13" s="17"/>
    </row>
    <row r="14" customFormat="false" ht="31.5" hidden="false" customHeight="true" outlineLevel="0" collapsed="false">
      <c r="A14" s="17" t="s">
        <v>111</v>
      </c>
      <c r="B14" s="17"/>
    </row>
  </sheetData>
  <mergeCells count="6">
    <mergeCell ref="A9:B9"/>
    <mergeCell ref="A10:B10"/>
    <mergeCell ref="A11:B11"/>
    <mergeCell ref="A12:B12"/>
    <mergeCell ref="A13:B1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2026-10-08T15:59:48Z</dcterms:created>
  <dc:creator>openpyxl</dc:creator>
  <dc:description/>
  <dc:language>en-US</dc:language>
  <cp:lastModifiedBy/>
  <dcterms:modified xsi:type="dcterms:W3CDTF">2026-10-08T15:59:48Z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